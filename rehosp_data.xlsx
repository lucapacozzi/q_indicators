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r300\USERS3008\I0343247\Desktop\app_test\"/>
    </mc:Choice>
  </mc:AlternateContent>
  <xr:revisionPtr revIDLastSave="0" documentId="13_ncr:1_{E7892F84-A4F2-40A6-85AF-F9D0B701D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2" i="1"/>
</calcChain>
</file>

<file path=xl/sharedStrings.xml><?xml version="1.0" encoding="utf-8"?>
<sst xmlns="http://schemas.openxmlformats.org/spreadsheetml/2006/main" count="556" uniqueCount="176">
  <si>
    <t>Kapitel</t>
  </si>
  <si>
    <t>Indikator</t>
  </si>
  <si>
    <t>Standort</t>
  </si>
  <si>
    <t>¹ Ergebnis</t>
  </si>
  <si>
    <t>Erwartete ungepl. Rehosp. (Gruppe)</t>
  </si>
  <si>
    <t xml:space="preserve">Alle Austritte
</t>
  </si>
  <si>
    <t>Berücksichtigte Austritte</t>
  </si>
  <si>
    <t>Alle Rehosp.</t>
  </si>
  <si>
    <t>Beobachtete ungepl. Rehosp.</t>
  </si>
  <si>
    <t>Erwartete ungepl. Rehosp.</t>
  </si>
  <si>
    <t xml:space="preserve">Risikobereinigte SRR
</t>
  </si>
  <si>
    <t xml:space="preserve">Risikobereinigte Rate
</t>
  </si>
  <si>
    <t xml:space="preserve">Untere 95%-Konfidenzintervall-Grenze
</t>
  </si>
  <si>
    <t xml:space="preserve">Obere 95%-Konfidenzintervall-Grenze
</t>
  </si>
  <si>
    <t xml:space="preserve">¹ Ergebnis
</t>
  </si>
  <si>
    <t>Durchschnitt Rate {alle Spitäler}</t>
  </si>
  <si>
    <t>Alle Austritte {alle Spitäler}</t>
  </si>
  <si>
    <t>Berücksichtigte Austritte {alle Spitäler}</t>
  </si>
  <si>
    <t>Anteil Fallzusammenführungen</t>
  </si>
  <si>
    <t>Durchschnitt Anteil Fallzusammenführungen {alle Spitäler}</t>
  </si>
  <si>
    <t>Durchschnitt Anzahl Tage bis Wiedereintritt</t>
  </si>
  <si>
    <t>Durchschnitt Anzahl Tage bis Wiedereintritt {Alle Spitäler}</t>
  </si>
  <si>
    <t>Spitalweite ungepl. Rehosp.</t>
  </si>
  <si>
    <t>in allen Kohorten</t>
  </si>
  <si>
    <t>ISB</t>
  </si>
  <si>
    <t>Im Normbereich</t>
  </si>
  <si>
    <t>&gt; 100</t>
  </si>
  <si>
    <t>ab 2023</t>
  </si>
  <si>
    <t>5.03%</t>
  </si>
  <si>
    <t>◼◼◼◼◼</t>
  </si>
  <si>
    <t>Kohorten-bezogene ungepl. Rehosp.</t>
  </si>
  <si>
    <t>in chirurgisch-gynäkologischer Kohorte</t>
  </si>
  <si>
    <t>3.69%</t>
  </si>
  <si>
    <t>in kardiorespiratorischer Kohorte</t>
  </si>
  <si>
    <t>8.80%</t>
  </si>
  <si>
    <t>in kardiovaskulärer Kohorte</t>
  </si>
  <si>
    <t>6.42%</t>
  </si>
  <si>
    <t>in neurologischer Kohorte</t>
  </si>
  <si>
    <t>51 - 100</t>
  </si>
  <si>
    <t>5.62%</t>
  </si>
  <si>
    <t>◼◼◼◼</t>
  </si>
  <si>
    <t>in sonstiger Kohorte</t>
  </si>
  <si>
    <t>7.50%</t>
  </si>
  <si>
    <t>Diagnose-spezifische ungepl. Rehosp.</t>
  </si>
  <si>
    <t>nach akutem Myokardinfarkt</t>
  </si>
  <si>
    <t>21 - 50</t>
  </si>
  <si>
    <t>7.20%</t>
  </si>
  <si>
    <t>◼◼◼</t>
  </si>
  <si>
    <t>nach COPD</t>
  </si>
  <si>
    <t>11 - 20</t>
  </si>
  <si>
    <t>13.11%</t>
  </si>
  <si>
    <t>◼◼</t>
  </si>
  <si>
    <t>nach Herzinsuffizienz</t>
  </si>
  <si>
    <t>Tiefer als Vergleichswert</t>
  </si>
  <si>
    <t>9.32%</t>
  </si>
  <si>
    <t>nach Pneumonie</t>
  </si>
  <si>
    <t>10.36%</t>
  </si>
  <si>
    <t>nach ischämischem Hirninfarkt</t>
  </si>
  <si>
    <t>5.45%</t>
  </si>
  <si>
    <t>Eingriffs-spezifische ungepl. Rehosp.</t>
  </si>
  <si>
    <t>nach isoliertem Koronararterienbyass</t>
  </si>
  <si>
    <t>5.11%</t>
  </si>
  <si>
    <t>nach elektiver Hüft- oder Knie-TEP</t>
  </si>
  <si>
    <t>Keine Beurteilung</t>
  </si>
  <si>
    <t>0 - 10</t>
  </si>
  <si>
    <t>-</t>
  </si>
  <si>
    <t>◼</t>
  </si>
  <si>
    <t>year</t>
  </si>
  <si>
    <t>4.71%</t>
  </si>
  <si>
    <t>3.50%</t>
  </si>
  <si>
    <t>9.76%</t>
  </si>
  <si>
    <t>6.33%</t>
  </si>
  <si>
    <t>4.82%</t>
  </si>
  <si>
    <t>6.65%</t>
  </si>
  <si>
    <t>7.97%</t>
  </si>
  <si>
    <t>11.02%</t>
  </si>
  <si>
    <t>10.40%</t>
  </si>
  <si>
    <t>7.81%</t>
  </si>
  <si>
    <t>4.96%</t>
  </si>
  <si>
    <t>2’539</t>
  </si>
  <si>
    <t>5.09%</t>
  </si>
  <si>
    <t>11.47</t>
  </si>
  <si>
    <t>12.10</t>
  </si>
  <si>
    <t>1’305</t>
  </si>
  <si>
    <t>3.47%</t>
  </si>
  <si>
    <t>11.02</t>
  </si>
  <si>
    <t>11.60</t>
  </si>
  <si>
    <t>144</t>
  </si>
  <si>
    <t>10.20%</t>
  </si>
  <si>
    <t>12.58</t>
  </si>
  <si>
    <t>12.88</t>
  </si>
  <si>
    <t>304</t>
  </si>
  <si>
    <t>6.37%</t>
  </si>
  <si>
    <t>11.74</t>
  </si>
  <si>
    <t>12.38</t>
  </si>
  <si>
    <t>158</t>
  </si>
  <si>
    <t>5.82%</t>
  </si>
  <si>
    <t>10.99</t>
  </si>
  <si>
    <t>11.99</t>
  </si>
  <si>
    <t>722</t>
  </si>
  <si>
    <t>7.52%</t>
  </si>
  <si>
    <t>11.94</t>
  </si>
  <si>
    <t>12.51</t>
  </si>
  <si>
    <t>54</t>
  </si>
  <si>
    <t>7.98%</t>
  </si>
  <si>
    <t>12.85</t>
  </si>
  <si>
    <t>13.70</t>
  </si>
  <si>
    <t>16</t>
  </si>
  <si>
    <t>11.08%</t>
  </si>
  <si>
    <t>10.62</t>
  </si>
  <si>
    <t>13.23</t>
  </si>
  <si>
    <t>62</t>
  </si>
  <si>
    <t>12.00%</t>
  </si>
  <si>
    <t>11.42</t>
  </si>
  <si>
    <t>13.52</t>
  </si>
  <si>
    <t>45</t>
  </si>
  <si>
    <t>7.60%</t>
  </si>
  <si>
    <t>14.38</t>
  </si>
  <si>
    <t>11.95</t>
  </si>
  <si>
    <t>59</t>
  </si>
  <si>
    <t>4.42%</t>
  </si>
  <si>
    <t>8.78</t>
  </si>
  <si>
    <t>21</t>
  </si>
  <si>
    <t>12.53</t>
  </si>
  <si>
    <t>4</t>
  </si>
  <si>
    <t>3.67</t>
  </si>
  <si>
    <t>13.18</t>
  </si>
  <si>
    <t>2’580</t>
  </si>
  <si>
    <t>5.10%</t>
  </si>
  <si>
    <t>1’353</t>
  </si>
  <si>
    <t>3.57%</t>
  </si>
  <si>
    <t>11.15</t>
  </si>
  <si>
    <t>11.33</t>
  </si>
  <si>
    <t>184</t>
  </si>
  <si>
    <t>10.46%</t>
  </si>
  <si>
    <t>12.83</t>
  </si>
  <si>
    <t>12.93</t>
  </si>
  <si>
    <t>Gering höher als Vergleichswert</t>
  </si>
  <si>
    <t>288</t>
  </si>
  <si>
    <t>8.28%</t>
  </si>
  <si>
    <t>12.19</t>
  </si>
  <si>
    <t>12.36</t>
  </si>
  <si>
    <t>114</t>
  </si>
  <si>
    <t>4.24%</t>
  </si>
  <si>
    <t>12.49</t>
  </si>
  <si>
    <t>11.66</t>
  </si>
  <si>
    <t>750</t>
  </si>
  <si>
    <t>7.64%</t>
  </si>
  <si>
    <t>12.80</t>
  </si>
  <si>
    <t>12.50</t>
  </si>
  <si>
    <t>40</t>
  </si>
  <si>
    <t>5.59%</t>
  </si>
  <si>
    <t>8.83</t>
  </si>
  <si>
    <t>11.96</t>
  </si>
  <si>
    <t>8.30%</t>
  </si>
  <si>
    <t>14.57</t>
  </si>
  <si>
    <t>12.99</t>
  </si>
  <si>
    <t>71</t>
  </si>
  <si>
    <t>11.24%</t>
  </si>
  <si>
    <t>12.13</t>
  </si>
  <si>
    <t>13.25</t>
  </si>
  <si>
    <t>78</t>
  </si>
  <si>
    <t>9.98%</t>
  </si>
  <si>
    <t>12.00</t>
  </si>
  <si>
    <t>12.61</t>
  </si>
  <si>
    <t>46</t>
  </si>
  <si>
    <t>3.42%</t>
  </si>
  <si>
    <t>9.89</t>
  </si>
  <si>
    <t>10.72</t>
  </si>
  <si>
    <t>11.11</t>
  </si>
  <si>
    <t>12.28</t>
  </si>
  <si>
    <t>6</t>
  </si>
  <si>
    <t>16.60</t>
  </si>
  <si>
    <t>12.64</t>
  </si>
  <si>
    <t>erwartete_rate</t>
  </si>
  <si>
    <t>beobachtete_rate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</si>
</sst>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topLeftCell="A19" workbookViewId="0">
      <selection activeCell="K52" sqref="K52"/>
    </sheetView>
  </sheetViews>
  <sheetFormatPr baseColWidth="10" defaultColWidth="9.140625" defaultRowHeight="15" x14ac:dyDescent="0.25"/>
  <cols>
    <col min="1" max="1" width="15.7109375" customWidth="1"/>
    <col min="2" max="2" width="49.28515625" customWidth="1"/>
    <col min="3" max="5" width="15.7109375" customWidth="1"/>
    <col min="6" max="7" width="15.7109375" style="1" customWidth="1"/>
    <col min="8" max="8" width="15.7109375" customWidth="1"/>
    <col min="9" max="9" width="15.7109375" style="1" customWidth="1"/>
    <col min="10" max="11" width="15.7109375" style="2" customWidth="1"/>
    <col min="12" max="12" width="15.7109375" customWidth="1"/>
    <col min="13" max="14" width="15.7109375" style="3" customWidth="1"/>
    <col min="15" max="15" width="15.7109375" customWidth="1"/>
    <col min="16" max="16" width="15.7109375" style="3" customWidth="1"/>
    <col min="17" max="18" width="15.7109375" style="1" customWidth="1"/>
    <col min="19" max="20" width="15.7109375" style="3" customWidth="1"/>
    <col min="21" max="22" width="15.7109375" customWidth="1"/>
  </cols>
  <sheetData>
    <row r="1" spans="1: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t="s">
        <v>7</v>
      </c>
      <c r="I1" s="1" t="s">
        <v>8</v>
      </c>
      <c r="J1" s="2" t="s">
        <v>9</v>
      </c>
      <c r="K1" s="2" t="s">
        <v>10</v>
      </c>
      <c r="L1" t="s">
        <v>11</v>
      </c>
      <c r="M1" s="3" t="s">
        <v>12</v>
      </c>
      <c r="N1" s="3" t="s">
        <v>13</v>
      </c>
      <c r="O1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67</v>
      </c>
      <c r="X1" t="s">
        <v>174</v>
      </c>
      <c r="Y1" t="s">
        <v>175</v>
      </c>
    </row>
    <row r="2" spans="1:25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35266</v>
      </c>
      <c r="G2" s="1">
        <v>26078</v>
      </c>
      <c r="H2" t="s">
        <v>27</v>
      </c>
      <c r="I2" s="1">
        <v>1503</v>
      </c>
      <c r="J2" s="2">
        <v>1523.753295898438</v>
      </c>
      <c r="K2" s="2">
        <v>0.98638015985488892</v>
      </c>
      <c r="L2" t="s">
        <v>28</v>
      </c>
      <c r="M2" s="3">
        <v>4.7834981232881553E-2</v>
      </c>
      <c r="N2" s="3">
        <v>5.2686519920825958E-2</v>
      </c>
      <c r="O2" t="s">
        <v>29</v>
      </c>
      <c r="P2" s="3">
        <v>5.0954751670360572E-2</v>
      </c>
      <c r="Q2" s="1">
        <v>970567</v>
      </c>
      <c r="R2" s="1">
        <v>754493</v>
      </c>
      <c r="S2" s="3">
        <v>0.38522954091816369</v>
      </c>
      <c r="T2" s="3">
        <v>0.35416829</v>
      </c>
      <c r="U2" t="s">
        <v>27</v>
      </c>
      <c r="V2" t="s">
        <v>27</v>
      </c>
      <c r="W2">
        <v>2021</v>
      </c>
      <c r="X2">
        <f>J2/G2*100</f>
        <v>5.8430604183543133</v>
      </c>
      <c r="Y2">
        <f>I2/G2*100</f>
        <v>5.7634787943860726</v>
      </c>
    </row>
    <row r="3" spans="1:25" x14ac:dyDescent="0.25">
      <c r="A3" s="5" t="s">
        <v>30</v>
      </c>
      <c r="B3" t="s">
        <v>31</v>
      </c>
      <c r="C3" t="s">
        <v>24</v>
      </c>
      <c r="D3" t="s">
        <v>25</v>
      </c>
      <c r="E3" t="s">
        <v>26</v>
      </c>
      <c r="F3" s="1">
        <v>19751</v>
      </c>
      <c r="G3" s="1">
        <v>15609</v>
      </c>
      <c r="H3" t="s">
        <v>27</v>
      </c>
      <c r="I3" s="1">
        <v>804</v>
      </c>
      <c r="J3" s="2">
        <v>820.41693115234386</v>
      </c>
      <c r="K3" s="2">
        <v>0.97998958826065063</v>
      </c>
      <c r="L3" t="s">
        <v>32</v>
      </c>
      <c r="M3" s="3">
        <v>3.4428160637617111E-2</v>
      </c>
      <c r="N3" s="3">
        <v>3.9291258901357651E-2</v>
      </c>
      <c r="O3" t="s">
        <v>29</v>
      </c>
      <c r="P3" s="3">
        <v>3.7612348794937127E-2</v>
      </c>
      <c r="Q3" s="1">
        <v>542661</v>
      </c>
      <c r="R3" s="1">
        <v>461072</v>
      </c>
      <c r="S3" s="3">
        <v>0.42412935323383077</v>
      </c>
      <c r="T3" s="3">
        <v>0.39955022000000001</v>
      </c>
      <c r="U3" t="s">
        <v>27</v>
      </c>
      <c r="V3" t="s">
        <v>27</v>
      </c>
      <c r="W3">
        <v>2021</v>
      </c>
      <c r="X3">
        <f t="shared" ref="X3:X53" si="0">J3/G3*100</f>
        <v>5.2560505551434673</v>
      </c>
      <c r="Y3">
        <f t="shared" ref="Y3:Y53" si="1">I3/G3*100</f>
        <v>5.1508744954833752</v>
      </c>
    </row>
    <row r="4" spans="1:25" x14ac:dyDescent="0.25">
      <c r="A4" s="5" t="s">
        <v>30</v>
      </c>
      <c r="B4" t="s">
        <v>33</v>
      </c>
      <c r="C4" t="s">
        <v>24</v>
      </c>
      <c r="D4" t="s">
        <v>25</v>
      </c>
      <c r="E4" t="s">
        <v>26</v>
      </c>
      <c r="F4" s="1">
        <v>1779</v>
      </c>
      <c r="G4" s="1">
        <v>959</v>
      </c>
      <c r="H4" t="s">
        <v>27</v>
      </c>
      <c r="I4" s="1">
        <v>87</v>
      </c>
      <c r="J4" s="2">
        <v>103.9462966918945</v>
      </c>
      <c r="K4" s="2">
        <v>0.83697062730789185</v>
      </c>
      <c r="L4" t="s">
        <v>34</v>
      </c>
      <c r="M4" s="3">
        <v>6.9323383271694183E-2</v>
      </c>
      <c r="N4" s="3">
        <v>0.10669171810150151</v>
      </c>
      <c r="O4" t="s">
        <v>29</v>
      </c>
      <c r="P4" s="3">
        <v>0.1051501110196114</v>
      </c>
      <c r="Q4" s="1">
        <v>78789</v>
      </c>
      <c r="R4" s="1">
        <v>40038</v>
      </c>
      <c r="S4" s="3">
        <v>0.47126436781609188</v>
      </c>
      <c r="T4" s="3">
        <v>0.34536816999999997</v>
      </c>
      <c r="U4" t="s">
        <v>27</v>
      </c>
      <c r="V4" t="s">
        <v>27</v>
      </c>
      <c r="W4">
        <v>2021</v>
      </c>
      <c r="X4">
        <f t="shared" si="0"/>
        <v>10.839029894879511</v>
      </c>
      <c r="Y4">
        <f t="shared" si="1"/>
        <v>9.0719499478623575</v>
      </c>
    </row>
    <row r="5" spans="1:25" x14ac:dyDescent="0.25">
      <c r="A5" s="5" t="s">
        <v>30</v>
      </c>
      <c r="B5" t="s">
        <v>35</v>
      </c>
      <c r="C5" t="s">
        <v>24</v>
      </c>
      <c r="D5" t="s">
        <v>25</v>
      </c>
      <c r="E5" t="s">
        <v>26</v>
      </c>
      <c r="F5" s="1">
        <v>2765</v>
      </c>
      <c r="G5" s="1">
        <v>2140</v>
      </c>
      <c r="H5" t="s">
        <v>27</v>
      </c>
      <c r="I5" s="1">
        <v>120</v>
      </c>
      <c r="J5" s="2">
        <v>134.49641418457031</v>
      </c>
      <c r="K5" s="2">
        <v>0.89221704006195068</v>
      </c>
      <c r="L5" t="s">
        <v>36</v>
      </c>
      <c r="M5" s="3">
        <v>5.2575461566448212E-2</v>
      </c>
      <c r="N5" s="3">
        <v>7.5879916548728943E-2</v>
      </c>
      <c r="O5" t="s">
        <v>29</v>
      </c>
      <c r="P5" s="3">
        <v>7.1986623108386993E-2</v>
      </c>
      <c r="Q5" s="1">
        <v>44644</v>
      </c>
      <c r="R5" s="1">
        <v>32895</v>
      </c>
      <c r="S5" s="3">
        <v>0.54166666666666663</v>
      </c>
      <c r="T5" s="3">
        <v>0.44847973000000002</v>
      </c>
      <c r="U5" t="s">
        <v>27</v>
      </c>
      <c r="V5" t="s">
        <v>27</v>
      </c>
      <c r="W5">
        <v>2021</v>
      </c>
      <c r="X5">
        <f t="shared" si="0"/>
        <v>6.2848791675032851</v>
      </c>
      <c r="Y5">
        <f t="shared" si="1"/>
        <v>5.6074766355140184</v>
      </c>
    </row>
    <row r="6" spans="1:25" x14ac:dyDescent="0.25">
      <c r="A6" s="5" t="s">
        <v>30</v>
      </c>
      <c r="B6" t="s">
        <v>37</v>
      </c>
      <c r="C6" t="s">
        <v>24</v>
      </c>
      <c r="D6" t="s">
        <v>25</v>
      </c>
      <c r="E6" t="s">
        <v>38</v>
      </c>
      <c r="F6" s="1">
        <v>2967</v>
      </c>
      <c r="G6" s="1">
        <v>1874</v>
      </c>
      <c r="H6" t="s">
        <v>27</v>
      </c>
      <c r="I6" s="1">
        <v>97</v>
      </c>
      <c r="J6" s="2">
        <v>98.977607727050781</v>
      </c>
      <c r="K6" s="2">
        <v>0.9800196886062621</v>
      </c>
      <c r="L6" t="s">
        <v>39</v>
      </c>
      <c r="M6" s="3">
        <v>4.5359089970588677E-2</v>
      </c>
      <c r="N6" s="3">
        <v>6.707482784986496E-2</v>
      </c>
      <c r="O6" t="s">
        <v>40</v>
      </c>
      <c r="P6" s="3">
        <v>5.7363100349903107E-2</v>
      </c>
      <c r="Q6" s="1">
        <v>55717</v>
      </c>
      <c r="R6" s="1">
        <v>41124</v>
      </c>
      <c r="S6" s="3">
        <v>0.42268041237113402</v>
      </c>
      <c r="T6" s="3">
        <v>0.33192031</v>
      </c>
      <c r="U6" t="s">
        <v>27</v>
      </c>
      <c r="V6" t="s">
        <v>27</v>
      </c>
      <c r="W6">
        <v>2021</v>
      </c>
      <c r="X6">
        <f t="shared" si="0"/>
        <v>5.2816226108351536</v>
      </c>
      <c r="Y6">
        <f t="shared" si="1"/>
        <v>5.1760939167556028</v>
      </c>
    </row>
    <row r="7" spans="1:25" x14ac:dyDescent="0.25">
      <c r="A7" s="5" t="s">
        <v>30</v>
      </c>
      <c r="B7" t="s">
        <v>41</v>
      </c>
      <c r="C7" t="s">
        <v>24</v>
      </c>
      <c r="D7" t="s">
        <v>25</v>
      </c>
      <c r="E7" t="s">
        <v>26</v>
      </c>
      <c r="F7" s="1">
        <v>8016</v>
      </c>
      <c r="G7" s="1">
        <v>5940</v>
      </c>
      <c r="H7" t="s">
        <v>27</v>
      </c>
      <c r="I7" s="1">
        <v>472</v>
      </c>
      <c r="J7" s="2">
        <v>471.507080078125</v>
      </c>
      <c r="K7" s="2">
        <v>1.0010454654693599</v>
      </c>
      <c r="L7" t="s">
        <v>42</v>
      </c>
      <c r="M7" s="3">
        <v>6.8712033331394196E-2</v>
      </c>
      <c r="N7" s="3">
        <v>8.1382356584072113E-2</v>
      </c>
      <c r="O7" t="s">
        <v>29</v>
      </c>
      <c r="P7" s="3">
        <v>7.4968822300434113E-2</v>
      </c>
      <c r="Q7" s="1">
        <v>249090</v>
      </c>
      <c r="R7" s="1">
        <v>192440</v>
      </c>
      <c r="S7" s="3">
        <v>0.27330508474576271</v>
      </c>
      <c r="T7" s="3">
        <v>0.29486380000000001</v>
      </c>
      <c r="U7" t="s">
        <v>27</v>
      </c>
      <c r="V7" t="s">
        <v>27</v>
      </c>
      <c r="W7">
        <v>2021</v>
      </c>
      <c r="X7">
        <f t="shared" si="0"/>
        <v>7.937829630944865</v>
      </c>
      <c r="Y7">
        <f t="shared" si="1"/>
        <v>7.9461279461279455</v>
      </c>
    </row>
    <row r="8" spans="1:25" x14ac:dyDescent="0.25">
      <c r="A8" s="5" t="s">
        <v>43</v>
      </c>
      <c r="B8" t="s">
        <v>44</v>
      </c>
      <c r="C8" t="s">
        <v>24</v>
      </c>
      <c r="D8" t="s">
        <v>25</v>
      </c>
      <c r="E8" t="s">
        <v>45</v>
      </c>
      <c r="F8" s="1">
        <v>1177</v>
      </c>
      <c r="G8" s="1">
        <v>483</v>
      </c>
      <c r="H8" t="s">
        <v>27</v>
      </c>
      <c r="I8" s="1">
        <v>32</v>
      </c>
      <c r="J8" s="2">
        <v>41.017574310302727</v>
      </c>
      <c r="K8" s="2">
        <v>0.78015339374542236</v>
      </c>
      <c r="L8" t="s">
        <v>46</v>
      </c>
      <c r="M8" s="3">
        <v>4.5196421444416053E-2</v>
      </c>
      <c r="N8" s="3">
        <v>9.8886638879776001E-2</v>
      </c>
      <c r="O8" t="s">
        <v>47</v>
      </c>
      <c r="P8" s="3">
        <v>9.2342771589756012E-2</v>
      </c>
      <c r="Q8" s="1">
        <v>17015</v>
      </c>
      <c r="R8" s="1">
        <v>10526</v>
      </c>
      <c r="S8" s="3">
        <v>0.34375</v>
      </c>
      <c r="T8" s="3">
        <v>0.34156378999999998</v>
      </c>
      <c r="U8" t="s">
        <v>27</v>
      </c>
      <c r="V8" t="s">
        <v>27</v>
      </c>
      <c r="W8">
        <v>2021</v>
      </c>
      <c r="X8">
        <f t="shared" si="0"/>
        <v>8.4922514100005646</v>
      </c>
      <c r="Y8">
        <f t="shared" si="1"/>
        <v>6.625258799171843</v>
      </c>
    </row>
    <row r="9" spans="1:25" x14ac:dyDescent="0.25">
      <c r="A9" s="5" t="s">
        <v>43</v>
      </c>
      <c r="B9" t="s">
        <v>48</v>
      </c>
      <c r="C9" t="s">
        <v>24</v>
      </c>
      <c r="D9" t="s">
        <v>25</v>
      </c>
      <c r="E9" t="s">
        <v>49</v>
      </c>
      <c r="F9" s="1">
        <v>159</v>
      </c>
      <c r="G9" s="1">
        <v>95</v>
      </c>
      <c r="H9" t="s">
        <v>27</v>
      </c>
      <c r="I9" s="1">
        <v>13</v>
      </c>
      <c r="J9" s="2">
        <v>11.648149490356451</v>
      </c>
      <c r="K9" s="2">
        <v>1.1160570383071899</v>
      </c>
      <c r="L9" t="s">
        <v>50</v>
      </c>
      <c r="M9" s="3">
        <v>6.9582216441631317E-2</v>
      </c>
      <c r="N9" s="3">
        <v>0.1926606893539429</v>
      </c>
      <c r="O9" t="s">
        <v>51</v>
      </c>
      <c r="P9" s="3">
        <v>0.1174863427877426</v>
      </c>
      <c r="Q9" s="1">
        <v>7322</v>
      </c>
      <c r="R9" s="1">
        <v>5490</v>
      </c>
      <c r="S9" s="3">
        <v>0.61538461538461542</v>
      </c>
      <c r="T9" s="3">
        <v>0.42170542999999999</v>
      </c>
      <c r="U9" t="s">
        <v>27</v>
      </c>
      <c r="V9" t="s">
        <v>27</v>
      </c>
      <c r="W9">
        <v>2021</v>
      </c>
      <c r="X9">
        <f t="shared" si="0"/>
        <v>12.261209989848895</v>
      </c>
      <c r="Y9">
        <f t="shared" si="1"/>
        <v>13.684210526315791</v>
      </c>
    </row>
    <row r="10" spans="1:25" x14ac:dyDescent="0.25">
      <c r="A10" s="5" t="s">
        <v>43</v>
      </c>
      <c r="B10" t="s">
        <v>52</v>
      </c>
      <c r="C10" t="s">
        <v>24</v>
      </c>
      <c r="D10" t="s">
        <v>53</v>
      </c>
      <c r="E10" t="s">
        <v>38</v>
      </c>
      <c r="F10" s="1">
        <v>596</v>
      </c>
      <c r="G10" s="1">
        <v>396</v>
      </c>
      <c r="H10" t="s">
        <v>27</v>
      </c>
      <c r="I10" s="1">
        <v>39</v>
      </c>
      <c r="J10" s="2">
        <v>52.32781982421875</v>
      </c>
      <c r="K10" s="2">
        <v>0.74530142545700073</v>
      </c>
      <c r="L10" t="s">
        <v>54</v>
      </c>
      <c r="M10" s="3">
        <v>6.2054451555013657E-2</v>
      </c>
      <c r="N10" s="3">
        <v>0.1242465376853943</v>
      </c>
      <c r="O10" t="s">
        <v>40</v>
      </c>
      <c r="P10" s="3">
        <v>0.12498365342617029</v>
      </c>
      <c r="Q10" s="1">
        <v>20579</v>
      </c>
      <c r="R10" s="1">
        <v>15290</v>
      </c>
      <c r="S10" s="3">
        <v>0.4358974358974359</v>
      </c>
      <c r="T10" s="3">
        <v>0.36263736000000002</v>
      </c>
      <c r="U10" t="s">
        <v>27</v>
      </c>
      <c r="V10" t="s">
        <v>27</v>
      </c>
      <c r="W10">
        <v>2021</v>
      </c>
      <c r="X10">
        <f t="shared" si="0"/>
        <v>13.214095915206755</v>
      </c>
      <c r="Y10">
        <f t="shared" si="1"/>
        <v>9.8484848484848477</v>
      </c>
    </row>
    <row r="11" spans="1:25" x14ac:dyDescent="0.25">
      <c r="A11" s="5" t="s">
        <v>43</v>
      </c>
      <c r="B11" t="s">
        <v>55</v>
      </c>
      <c r="C11" t="s">
        <v>24</v>
      </c>
      <c r="D11" t="s">
        <v>25</v>
      </c>
      <c r="E11" t="s">
        <v>45</v>
      </c>
      <c r="F11" s="1">
        <v>550</v>
      </c>
      <c r="G11" s="1">
        <v>261</v>
      </c>
      <c r="H11" t="s">
        <v>27</v>
      </c>
      <c r="I11" s="1">
        <v>35</v>
      </c>
      <c r="J11" s="2">
        <v>35.464374542236328</v>
      </c>
      <c r="K11" s="2">
        <v>0.98690587282180786</v>
      </c>
      <c r="L11" t="s">
        <v>56</v>
      </c>
      <c r="M11" s="3">
        <v>7.2428688406944275E-2</v>
      </c>
      <c r="N11" s="3">
        <v>0.13469250500202179</v>
      </c>
      <c r="O11" t="s">
        <v>47</v>
      </c>
      <c r="P11" s="3">
        <v>0.1049346327781677</v>
      </c>
      <c r="Q11" s="1">
        <v>35975</v>
      </c>
      <c r="R11" s="1">
        <v>11855</v>
      </c>
      <c r="S11" s="3">
        <v>0.4</v>
      </c>
      <c r="T11" s="3">
        <v>0.26125401999999998</v>
      </c>
      <c r="U11" t="s">
        <v>27</v>
      </c>
      <c r="V11" t="s">
        <v>27</v>
      </c>
      <c r="W11">
        <v>2021</v>
      </c>
      <c r="X11">
        <f t="shared" si="0"/>
        <v>13.587882966374071</v>
      </c>
      <c r="Y11">
        <f t="shared" si="1"/>
        <v>13.409961685823754</v>
      </c>
    </row>
    <row r="12" spans="1:25" x14ac:dyDescent="0.25">
      <c r="A12" s="5" t="s">
        <v>43</v>
      </c>
      <c r="B12" t="s">
        <v>57</v>
      </c>
      <c r="C12" t="s">
        <v>24</v>
      </c>
      <c r="D12" t="s">
        <v>25</v>
      </c>
      <c r="E12" t="s">
        <v>45</v>
      </c>
      <c r="F12" s="1">
        <v>1255</v>
      </c>
      <c r="G12" s="1">
        <v>601</v>
      </c>
      <c r="H12" t="s">
        <v>27</v>
      </c>
      <c r="I12" s="1">
        <v>31</v>
      </c>
      <c r="J12" s="2">
        <v>31.93904113769532</v>
      </c>
      <c r="K12" s="2">
        <v>0.97059893608093262</v>
      </c>
      <c r="L12" t="s">
        <v>58</v>
      </c>
      <c r="M12" s="3">
        <v>3.5775449126958847E-2</v>
      </c>
      <c r="N12" s="3">
        <v>7.3269769549369812E-2</v>
      </c>
      <c r="O12" t="s">
        <v>47</v>
      </c>
      <c r="P12" s="3">
        <v>5.6174188852310181E-2</v>
      </c>
      <c r="Q12" s="1">
        <v>14700</v>
      </c>
      <c r="R12" s="1">
        <v>10058</v>
      </c>
      <c r="S12" s="3">
        <v>0.61290322580645162</v>
      </c>
      <c r="T12" s="3">
        <v>0.41946903000000002</v>
      </c>
      <c r="U12" t="s">
        <v>27</v>
      </c>
      <c r="V12" t="s">
        <v>27</v>
      </c>
      <c r="W12">
        <v>2021</v>
      </c>
      <c r="X12">
        <f t="shared" si="0"/>
        <v>5.3143163290674407</v>
      </c>
      <c r="Y12">
        <f t="shared" si="1"/>
        <v>5.1580698835274541</v>
      </c>
    </row>
    <row r="13" spans="1:25" x14ac:dyDescent="0.25">
      <c r="A13" s="5" t="s">
        <v>59</v>
      </c>
      <c r="B13" t="s">
        <v>60</v>
      </c>
      <c r="C13" t="s">
        <v>24</v>
      </c>
      <c r="D13" t="s">
        <v>25</v>
      </c>
      <c r="E13" t="s">
        <v>49</v>
      </c>
      <c r="F13" s="1">
        <v>249</v>
      </c>
      <c r="G13" s="1">
        <v>225</v>
      </c>
      <c r="H13" t="s">
        <v>27</v>
      </c>
      <c r="I13" s="1">
        <v>13</v>
      </c>
      <c r="J13" s="2">
        <v>10.508243560791019</v>
      </c>
      <c r="K13" s="2">
        <v>1.237123966217041</v>
      </c>
      <c r="L13" t="s">
        <v>61</v>
      </c>
      <c r="M13" s="3">
        <v>2.695108950138092E-2</v>
      </c>
      <c r="N13" s="3">
        <v>7.5175456702709198E-2</v>
      </c>
      <c r="O13" t="s">
        <v>51</v>
      </c>
      <c r="P13" s="3">
        <v>4.127579927444458E-2</v>
      </c>
      <c r="Q13" s="1">
        <v>2416</v>
      </c>
      <c r="R13" s="1">
        <v>2132</v>
      </c>
      <c r="S13" s="3">
        <v>0.30769230769230771</v>
      </c>
      <c r="T13" s="3">
        <v>0.32954545000000002</v>
      </c>
      <c r="U13" t="s">
        <v>27</v>
      </c>
      <c r="V13" t="s">
        <v>27</v>
      </c>
      <c r="W13">
        <v>2021</v>
      </c>
      <c r="X13">
        <f t="shared" si="0"/>
        <v>4.6703304714626759</v>
      </c>
      <c r="Y13">
        <f t="shared" si="1"/>
        <v>5.7777777777777777</v>
      </c>
    </row>
    <row r="14" spans="1:25" x14ac:dyDescent="0.25">
      <c r="A14" s="5" t="s">
        <v>59</v>
      </c>
      <c r="B14" t="s">
        <v>62</v>
      </c>
      <c r="C14" t="s">
        <v>24</v>
      </c>
      <c r="D14" t="s">
        <v>63</v>
      </c>
      <c r="E14" t="s">
        <v>64</v>
      </c>
      <c r="F14" s="1">
        <v>120</v>
      </c>
      <c r="G14" s="1">
        <v>101</v>
      </c>
      <c r="H14" t="s">
        <v>27</v>
      </c>
      <c r="I14" s="1">
        <v>1</v>
      </c>
      <c r="J14" s="2">
        <v>4.057459831237793</v>
      </c>
      <c r="K14" s="2">
        <v>0.24645963311195371</v>
      </c>
      <c r="M14" s="3" t="s">
        <v>65</v>
      </c>
      <c r="N14" s="3" t="s">
        <v>65</v>
      </c>
      <c r="O14" t="s">
        <v>66</v>
      </c>
      <c r="P14" s="3" t="s">
        <v>65</v>
      </c>
      <c r="Q14" s="1">
        <v>33635</v>
      </c>
      <c r="R14" s="1">
        <v>29644</v>
      </c>
      <c r="S14" s="3">
        <v>1</v>
      </c>
      <c r="T14" s="3">
        <v>0.46507936999999999</v>
      </c>
      <c r="U14" t="s">
        <v>27</v>
      </c>
      <c r="V14" t="s">
        <v>27</v>
      </c>
      <c r="W14">
        <v>2021</v>
      </c>
      <c r="X14">
        <f t="shared" si="0"/>
        <v>4.0172869616215774</v>
      </c>
      <c r="Y14">
        <f t="shared" si="1"/>
        <v>0.99009900990099009</v>
      </c>
    </row>
    <row r="15" spans="1:25" x14ac:dyDescent="0.25">
      <c r="A15" t="s">
        <v>22</v>
      </c>
      <c r="B15" t="s">
        <v>23</v>
      </c>
      <c r="C15" t="s">
        <v>24</v>
      </c>
      <c r="D15" t="s">
        <v>53</v>
      </c>
      <c r="E15" t="s">
        <v>26</v>
      </c>
      <c r="F15" s="1">
        <v>34400</v>
      </c>
      <c r="G15" s="1">
        <v>24595</v>
      </c>
      <c r="H15" t="s">
        <v>27</v>
      </c>
      <c r="I15" s="1">
        <v>1295</v>
      </c>
      <c r="J15" s="2">
        <v>1402.416381835938</v>
      </c>
      <c r="K15" s="2">
        <v>0.92340624332427979</v>
      </c>
      <c r="L15" t="s">
        <v>68</v>
      </c>
      <c r="M15" s="3">
        <v>4.4517580419778817E-2</v>
      </c>
      <c r="N15" s="3">
        <v>4.9586281180381768E-2</v>
      </c>
      <c r="O15" t="s">
        <v>29</v>
      </c>
      <c r="P15" s="3">
        <v>5.0954751670360572E-2</v>
      </c>
      <c r="Q15" s="1">
        <v>970567</v>
      </c>
      <c r="R15" s="1">
        <v>754493</v>
      </c>
      <c r="S15" s="3">
        <v>0.39382239382239381</v>
      </c>
      <c r="T15" s="3">
        <v>0.35416829</v>
      </c>
      <c r="U15" t="s">
        <v>27</v>
      </c>
      <c r="V15" t="s">
        <v>27</v>
      </c>
      <c r="W15">
        <v>2022</v>
      </c>
      <c r="X15">
        <f t="shared" si="0"/>
        <v>5.7020385518842778</v>
      </c>
      <c r="Y15">
        <f t="shared" si="1"/>
        <v>5.26529782476113</v>
      </c>
    </row>
    <row r="16" spans="1:25" x14ac:dyDescent="0.25">
      <c r="A16" s="5" t="s">
        <v>30</v>
      </c>
      <c r="B16" t="s">
        <v>31</v>
      </c>
      <c r="C16" t="s">
        <v>24</v>
      </c>
      <c r="D16" t="s">
        <v>53</v>
      </c>
      <c r="E16" t="s">
        <v>26</v>
      </c>
      <c r="F16" s="1">
        <v>19531</v>
      </c>
      <c r="G16" s="1">
        <v>15008</v>
      </c>
      <c r="H16" t="s">
        <v>27</v>
      </c>
      <c r="I16" s="1">
        <v>703</v>
      </c>
      <c r="J16" s="2">
        <v>756.23028564453125</v>
      </c>
      <c r="K16" s="2">
        <v>0.9296109676361084</v>
      </c>
      <c r="L16" t="s">
        <v>69</v>
      </c>
      <c r="M16" s="3">
        <v>3.2421059906482697E-2</v>
      </c>
      <c r="N16" s="3">
        <v>3.7508640438318253E-2</v>
      </c>
      <c r="O16" t="s">
        <v>29</v>
      </c>
      <c r="P16" s="3">
        <v>3.7612348794937127E-2</v>
      </c>
      <c r="Q16" s="1">
        <v>542661</v>
      </c>
      <c r="R16" s="1">
        <v>461072</v>
      </c>
      <c r="S16" s="3">
        <v>0.41109530583214787</v>
      </c>
      <c r="T16" s="3">
        <v>0.39955022000000001</v>
      </c>
      <c r="U16" t="s">
        <v>27</v>
      </c>
      <c r="V16" t="s">
        <v>27</v>
      </c>
      <c r="W16">
        <v>2022</v>
      </c>
      <c r="X16">
        <f t="shared" si="0"/>
        <v>5.0388478521090834</v>
      </c>
      <c r="Y16">
        <f t="shared" si="1"/>
        <v>4.6841684434968016</v>
      </c>
    </row>
    <row r="17" spans="1:25" x14ac:dyDescent="0.25">
      <c r="A17" s="5" t="s">
        <v>30</v>
      </c>
      <c r="B17" t="s">
        <v>33</v>
      </c>
      <c r="C17" t="s">
        <v>24</v>
      </c>
      <c r="D17" t="s">
        <v>25</v>
      </c>
      <c r="E17" t="s">
        <v>38</v>
      </c>
      <c r="F17" s="1">
        <v>1785</v>
      </c>
      <c r="G17" s="1">
        <v>880</v>
      </c>
      <c r="H17" t="s">
        <v>27</v>
      </c>
      <c r="I17" s="1">
        <v>91</v>
      </c>
      <c r="J17" s="2">
        <v>98.011070251464844</v>
      </c>
      <c r="K17" s="2">
        <v>0.9284665584564209</v>
      </c>
      <c r="L17" t="s">
        <v>70</v>
      </c>
      <c r="M17" s="3">
        <v>7.8399337828159332E-2</v>
      </c>
      <c r="N17" s="3">
        <v>0.1168573796749115</v>
      </c>
      <c r="O17" t="s">
        <v>40</v>
      </c>
      <c r="P17" s="3">
        <v>0.1051501110196114</v>
      </c>
      <c r="Q17" s="1">
        <v>78789</v>
      </c>
      <c r="R17" s="1">
        <v>40038</v>
      </c>
      <c r="S17" s="3">
        <v>0.40659340659340659</v>
      </c>
      <c r="T17" s="3">
        <v>0.34536816999999997</v>
      </c>
      <c r="U17" t="s">
        <v>27</v>
      </c>
      <c r="V17" t="s">
        <v>27</v>
      </c>
      <c r="W17">
        <v>2022</v>
      </c>
      <c r="X17">
        <f t="shared" si="0"/>
        <v>11.137621619484642</v>
      </c>
      <c r="Y17">
        <f t="shared" si="1"/>
        <v>10.340909090909092</v>
      </c>
    </row>
    <row r="18" spans="1:25" x14ac:dyDescent="0.25">
      <c r="A18" s="5" t="s">
        <v>30</v>
      </c>
      <c r="B18" t="s">
        <v>35</v>
      </c>
      <c r="C18" t="s">
        <v>24</v>
      </c>
      <c r="D18" t="s">
        <v>25</v>
      </c>
      <c r="E18" t="s">
        <v>26</v>
      </c>
      <c r="F18" s="1">
        <v>2732</v>
      </c>
      <c r="G18" s="1">
        <v>1999</v>
      </c>
      <c r="H18" t="s">
        <v>27</v>
      </c>
      <c r="I18" s="1">
        <v>119</v>
      </c>
      <c r="J18" s="2">
        <v>135.24717712402341</v>
      </c>
      <c r="K18" s="2">
        <v>0.87987047433853149</v>
      </c>
      <c r="L18" t="s">
        <v>71</v>
      </c>
      <c r="M18" s="3">
        <v>5.1750201731920242E-2</v>
      </c>
      <c r="N18" s="3">
        <v>7.4927613139152527E-2</v>
      </c>
      <c r="O18" t="s">
        <v>29</v>
      </c>
      <c r="P18" s="3">
        <v>7.1986623108386993E-2</v>
      </c>
      <c r="Q18" s="1">
        <v>44644</v>
      </c>
      <c r="R18" s="1">
        <v>32895</v>
      </c>
      <c r="S18" s="3">
        <v>0.49579831932773122</v>
      </c>
      <c r="T18" s="3">
        <v>0.44847973000000002</v>
      </c>
      <c r="U18" t="s">
        <v>27</v>
      </c>
      <c r="V18" t="s">
        <v>27</v>
      </c>
      <c r="W18">
        <v>2022</v>
      </c>
      <c r="X18">
        <f t="shared" si="0"/>
        <v>6.7657417270647029</v>
      </c>
      <c r="Y18">
        <f t="shared" si="1"/>
        <v>5.9529764882441221</v>
      </c>
    </row>
    <row r="19" spans="1:25" x14ac:dyDescent="0.25">
      <c r="A19" s="5" t="s">
        <v>30</v>
      </c>
      <c r="B19" t="s">
        <v>37</v>
      </c>
      <c r="C19" t="s">
        <v>24</v>
      </c>
      <c r="D19" t="s">
        <v>25</v>
      </c>
      <c r="E19" t="s">
        <v>38</v>
      </c>
      <c r="F19" s="1">
        <v>2784</v>
      </c>
      <c r="G19" s="1">
        <v>1675</v>
      </c>
      <c r="H19" t="s">
        <v>27</v>
      </c>
      <c r="I19" s="1">
        <v>73</v>
      </c>
      <c r="J19" s="2">
        <v>86.854598999023438</v>
      </c>
      <c r="K19" s="2">
        <v>0.84048515558242798</v>
      </c>
      <c r="L19" t="s">
        <v>72</v>
      </c>
      <c r="M19" s="3">
        <v>3.6599859595298767E-2</v>
      </c>
      <c r="N19" s="3">
        <v>5.9825800359249108E-2</v>
      </c>
      <c r="O19" t="s">
        <v>40</v>
      </c>
      <c r="P19" s="3">
        <v>5.7363100349903107E-2</v>
      </c>
      <c r="Q19" s="1">
        <v>55717</v>
      </c>
      <c r="R19" s="1">
        <v>41124</v>
      </c>
      <c r="S19" s="3">
        <v>0.53424657534246578</v>
      </c>
      <c r="T19" s="3">
        <v>0.33192031</v>
      </c>
      <c r="U19" t="s">
        <v>27</v>
      </c>
      <c r="V19" t="s">
        <v>27</v>
      </c>
      <c r="W19">
        <v>2022</v>
      </c>
      <c r="X19">
        <f t="shared" si="0"/>
        <v>5.1853491939715486</v>
      </c>
      <c r="Y19">
        <f t="shared" si="1"/>
        <v>4.3582089552238807</v>
      </c>
    </row>
    <row r="20" spans="1:25" x14ac:dyDescent="0.25">
      <c r="A20" s="5" t="s">
        <v>30</v>
      </c>
      <c r="B20" t="s">
        <v>41</v>
      </c>
      <c r="C20" t="s">
        <v>24</v>
      </c>
      <c r="D20" t="s">
        <v>53</v>
      </c>
      <c r="E20" t="s">
        <v>26</v>
      </c>
      <c r="F20" s="1">
        <v>7582</v>
      </c>
      <c r="G20" s="1">
        <v>5391</v>
      </c>
      <c r="H20" t="s">
        <v>27</v>
      </c>
      <c r="I20" s="1">
        <v>376</v>
      </c>
      <c r="J20" s="2">
        <v>423.830810546875</v>
      </c>
      <c r="K20" s="2">
        <v>0.8871464729309082</v>
      </c>
      <c r="L20" t="s">
        <v>73</v>
      </c>
      <c r="M20" s="3">
        <v>5.9811998158693307E-2</v>
      </c>
      <c r="N20" s="3">
        <v>7.3204651474952698E-2</v>
      </c>
      <c r="O20" t="s">
        <v>29</v>
      </c>
      <c r="P20" s="3">
        <v>7.4968822300434113E-2</v>
      </c>
      <c r="Q20" s="1">
        <v>249090</v>
      </c>
      <c r="R20" s="1">
        <v>192440</v>
      </c>
      <c r="S20" s="3">
        <v>0.32446808510638298</v>
      </c>
      <c r="T20" s="3">
        <v>0.29486380000000001</v>
      </c>
      <c r="U20" t="s">
        <v>27</v>
      </c>
      <c r="V20" t="s">
        <v>27</v>
      </c>
      <c r="W20">
        <v>2022</v>
      </c>
      <c r="X20">
        <f t="shared" si="0"/>
        <v>7.8618217500811536</v>
      </c>
      <c r="Y20">
        <f t="shared" si="1"/>
        <v>6.9745872750881093</v>
      </c>
    </row>
    <row r="21" spans="1:25" x14ac:dyDescent="0.25">
      <c r="A21" s="5" t="s">
        <v>43</v>
      </c>
      <c r="B21" t="s">
        <v>44</v>
      </c>
      <c r="C21" t="s">
        <v>24</v>
      </c>
      <c r="D21" t="s">
        <v>25</v>
      </c>
      <c r="E21" t="s">
        <v>45</v>
      </c>
      <c r="F21" s="1">
        <v>1073</v>
      </c>
      <c r="G21" s="1">
        <v>441</v>
      </c>
      <c r="H21" t="s">
        <v>27</v>
      </c>
      <c r="I21" s="1">
        <v>31</v>
      </c>
      <c r="J21" s="2">
        <v>35.920688629150391</v>
      </c>
      <c r="K21" s="2">
        <v>0.86301243305206299</v>
      </c>
      <c r="L21" t="s">
        <v>74</v>
      </c>
      <c r="M21" s="3">
        <v>5.1032010465860367E-2</v>
      </c>
      <c r="N21" s="3">
        <v>0.1083539128303528</v>
      </c>
      <c r="O21" t="s">
        <v>47</v>
      </c>
      <c r="P21" s="3">
        <v>9.2342771589756012E-2</v>
      </c>
      <c r="Q21" s="1">
        <v>17015</v>
      </c>
      <c r="R21" s="1">
        <v>10526</v>
      </c>
      <c r="S21" s="3">
        <v>0.35483870967741937</v>
      </c>
      <c r="T21" s="3">
        <v>0.34156378999999998</v>
      </c>
      <c r="U21" t="s">
        <v>27</v>
      </c>
      <c r="V21" t="s">
        <v>27</v>
      </c>
      <c r="W21">
        <v>2022</v>
      </c>
      <c r="X21">
        <f t="shared" si="0"/>
        <v>8.1452808682880704</v>
      </c>
      <c r="Y21">
        <f t="shared" si="1"/>
        <v>7.029478458049887</v>
      </c>
    </row>
    <row r="22" spans="1:25" x14ac:dyDescent="0.25">
      <c r="A22" s="5" t="s">
        <v>43</v>
      </c>
      <c r="B22" t="s">
        <v>48</v>
      </c>
      <c r="C22" t="s">
        <v>24</v>
      </c>
      <c r="D22" t="s">
        <v>25</v>
      </c>
      <c r="E22" t="s">
        <v>49</v>
      </c>
      <c r="F22" s="1">
        <v>184</v>
      </c>
      <c r="G22" s="1">
        <v>94</v>
      </c>
      <c r="H22" t="s">
        <v>27</v>
      </c>
      <c r="I22" s="1">
        <v>12</v>
      </c>
      <c r="J22" s="2">
        <v>12.797916412353519</v>
      </c>
      <c r="K22" s="2">
        <v>0.93765264749526978</v>
      </c>
      <c r="L22" t="s">
        <v>75</v>
      </c>
      <c r="M22" s="3">
        <v>5.2226848900318153E-2</v>
      </c>
      <c r="N22" s="3">
        <v>0.1680959016084671</v>
      </c>
      <c r="O22" t="s">
        <v>51</v>
      </c>
      <c r="P22" s="3">
        <v>0.1174863427877426</v>
      </c>
      <c r="Q22" s="1">
        <v>7322</v>
      </c>
      <c r="R22" s="1">
        <v>5490</v>
      </c>
      <c r="S22" s="3">
        <v>0.5</v>
      </c>
      <c r="T22" s="3">
        <v>0.42170542999999999</v>
      </c>
      <c r="U22" t="s">
        <v>27</v>
      </c>
      <c r="V22" t="s">
        <v>27</v>
      </c>
      <c r="W22">
        <v>2022</v>
      </c>
      <c r="X22">
        <f t="shared" si="0"/>
        <v>13.614804693993104</v>
      </c>
      <c r="Y22">
        <f t="shared" si="1"/>
        <v>12.76595744680851</v>
      </c>
    </row>
    <row r="23" spans="1:25" x14ac:dyDescent="0.25">
      <c r="A23" s="5" t="s">
        <v>43</v>
      </c>
      <c r="B23" t="s">
        <v>52</v>
      </c>
      <c r="C23" t="s">
        <v>24</v>
      </c>
      <c r="D23" t="s">
        <v>25</v>
      </c>
      <c r="E23" t="s">
        <v>45</v>
      </c>
      <c r="F23" s="1">
        <v>609</v>
      </c>
      <c r="G23" s="1">
        <v>371</v>
      </c>
      <c r="H23" t="s">
        <v>27</v>
      </c>
      <c r="I23" s="1">
        <v>41</v>
      </c>
      <c r="J23" s="2">
        <v>49.270160675048828</v>
      </c>
      <c r="K23" s="2">
        <v>0.83214664459228516</v>
      </c>
      <c r="L23" t="s">
        <v>76</v>
      </c>
      <c r="M23" s="3">
        <v>7.1976989507675171E-2</v>
      </c>
      <c r="N23" s="3">
        <v>0.13603246212005621</v>
      </c>
      <c r="O23" t="s">
        <v>47</v>
      </c>
      <c r="P23" s="3">
        <v>0.12498365342617029</v>
      </c>
      <c r="Q23" s="1">
        <v>20579</v>
      </c>
      <c r="R23" s="1">
        <v>15290</v>
      </c>
      <c r="S23" s="3">
        <v>0.48780487804878048</v>
      </c>
      <c r="T23" s="3">
        <v>0.36263736000000002</v>
      </c>
      <c r="U23" t="s">
        <v>27</v>
      </c>
      <c r="V23" t="s">
        <v>27</v>
      </c>
      <c r="W23">
        <v>2022</v>
      </c>
      <c r="X23">
        <f t="shared" si="0"/>
        <v>13.280366758773269</v>
      </c>
      <c r="Y23">
        <f t="shared" si="1"/>
        <v>11.05121293800539</v>
      </c>
    </row>
    <row r="24" spans="1:25" x14ac:dyDescent="0.25">
      <c r="A24" s="5" t="s">
        <v>43</v>
      </c>
      <c r="B24" t="s">
        <v>55</v>
      </c>
      <c r="C24" t="s">
        <v>24</v>
      </c>
      <c r="D24" t="s">
        <v>25</v>
      </c>
      <c r="E24" t="s">
        <v>45</v>
      </c>
      <c r="F24" s="1">
        <v>525</v>
      </c>
      <c r="G24" s="1">
        <v>258</v>
      </c>
      <c r="H24" t="s">
        <v>27</v>
      </c>
      <c r="I24" s="1">
        <v>24</v>
      </c>
      <c r="J24" s="2">
        <v>32.237419128417969</v>
      </c>
      <c r="K24" s="2">
        <v>0.74447643756866455</v>
      </c>
      <c r="L24" t="s">
        <v>77</v>
      </c>
      <c r="M24" s="3">
        <v>4.504736140370369E-2</v>
      </c>
      <c r="N24" s="3">
        <v>0.1111953631043434</v>
      </c>
      <c r="O24" t="s">
        <v>47</v>
      </c>
      <c r="P24" s="3">
        <v>0.1049346327781677</v>
      </c>
      <c r="Q24" s="1">
        <v>35975</v>
      </c>
      <c r="R24" s="1">
        <v>11855</v>
      </c>
      <c r="S24" s="3">
        <v>0.20833333333333329</v>
      </c>
      <c r="T24" s="3">
        <v>0.26125401999999998</v>
      </c>
      <c r="U24" t="s">
        <v>27</v>
      </c>
      <c r="V24" t="s">
        <v>27</v>
      </c>
      <c r="W24">
        <v>2022</v>
      </c>
      <c r="X24">
        <f t="shared" si="0"/>
        <v>12.495123693185258</v>
      </c>
      <c r="Y24">
        <f t="shared" si="1"/>
        <v>9.3023255813953494</v>
      </c>
    </row>
    <row r="25" spans="1:25" x14ac:dyDescent="0.25">
      <c r="A25" s="5" t="s">
        <v>43</v>
      </c>
      <c r="B25" t="s">
        <v>57</v>
      </c>
      <c r="C25" t="s">
        <v>24</v>
      </c>
      <c r="D25" t="s">
        <v>25</v>
      </c>
      <c r="E25" t="s">
        <v>45</v>
      </c>
      <c r="F25" s="1">
        <v>1261</v>
      </c>
      <c r="G25" s="1">
        <v>569</v>
      </c>
      <c r="H25" t="s">
        <v>27</v>
      </c>
      <c r="I25" s="1">
        <v>27</v>
      </c>
      <c r="J25" s="2">
        <v>30.553476333618161</v>
      </c>
      <c r="K25" s="2">
        <v>0.88369649648666382</v>
      </c>
      <c r="L25" t="s">
        <v>78</v>
      </c>
      <c r="M25" s="3">
        <v>3.0461309477686879E-2</v>
      </c>
      <c r="N25" s="3">
        <v>6.8820558488368988E-2</v>
      </c>
      <c r="O25" t="s">
        <v>47</v>
      </c>
      <c r="P25" s="3">
        <v>5.6174188852310181E-2</v>
      </c>
      <c r="Q25" s="1">
        <v>14700</v>
      </c>
      <c r="R25" s="1">
        <v>10058</v>
      </c>
      <c r="S25" s="3">
        <v>0.59259259259259256</v>
      </c>
      <c r="T25" s="3">
        <v>0.41946903000000002</v>
      </c>
      <c r="U25" t="s">
        <v>27</v>
      </c>
      <c r="V25" t="s">
        <v>27</v>
      </c>
      <c r="W25">
        <v>2022</v>
      </c>
      <c r="X25">
        <f t="shared" si="0"/>
        <v>5.369679496242207</v>
      </c>
      <c r="Y25">
        <f t="shared" si="1"/>
        <v>4.7451669595782073</v>
      </c>
    </row>
    <row r="26" spans="1:25" x14ac:dyDescent="0.25">
      <c r="A26" s="5" t="s">
        <v>59</v>
      </c>
      <c r="B26" t="s">
        <v>60</v>
      </c>
      <c r="C26" t="s">
        <v>24</v>
      </c>
      <c r="D26" t="s">
        <v>63</v>
      </c>
      <c r="E26" t="s">
        <v>64</v>
      </c>
      <c r="F26" s="1">
        <v>257</v>
      </c>
      <c r="G26" s="1">
        <v>232</v>
      </c>
      <c r="H26" t="s">
        <v>27</v>
      </c>
      <c r="I26" s="1">
        <v>13</v>
      </c>
      <c r="J26" s="2">
        <v>9.6878643035888672</v>
      </c>
      <c r="K26" s="2">
        <v>1.341884970664978</v>
      </c>
      <c r="M26" s="3" t="s">
        <v>65</v>
      </c>
      <c r="N26" s="3" t="s">
        <v>65</v>
      </c>
      <c r="O26" t="s">
        <v>66</v>
      </c>
      <c r="P26" s="3" t="s">
        <v>65</v>
      </c>
      <c r="Q26" s="1">
        <v>2416</v>
      </c>
      <c r="R26" s="1">
        <v>2132</v>
      </c>
      <c r="S26" s="3">
        <v>0.38461538461538458</v>
      </c>
      <c r="T26" s="3">
        <v>0.32954545000000002</v>
      </c>
      <c r="U26" t="s">
        <v>27</v>
      </c>
      <c r="V26" t="s">
        <v>27</v>
      </c>
      <c r="W26">
        <v>2022</v>
      </c>
      <c r="X26">
        <f t="shared" si="0"/>
        <v>4.1758035791331327</v>
      </c>
      <c r="Y26">
        <f t="shared" si="1"/>
        <v>5.6034482758620694</v>
      </c>
    </row>
    <row r="27" spans="1:25" x14ac:dyDescent="0.25">
      <c r="A27" s="5" t="s">
        <v>59</v>
      </c>
      <c r="B27" t="s">
        <v>62</v>
      </c>
      <c r="C27" t="s">
        <v>24</v>
      </c>
      <c r="D27" t="s">
        <v>63</v>
      </c>
      <c r="E27" t="s">
        <v>64</v>
      </c>
      <c r="F27" s="1">
        <v>107</v>
      </c>
      <c r="G27" s="1">
        <v>89</v>
      </c>
      <c r="H27" t="s">
        <v>27</v>
      </c>
      <c r="I27" s="1">
        <v>3</v>
      </c>
      <c r="J27" s="2">
        <v>2.8535645008087158</v>
      </c>
      <c r="K27" s="2">
        <v>1.0513167381286621</v>
      </c>
      <c r="M27" s="3" t="s">
        <v>65</v>
      </c>
      <c r="N27" s="3" t="s">
        <v>65</v>
      </c>
      <c r="O27" t="s">
        <v>66</v>
      </c>
      <c r="P27" s="3" t="s">
        <v>65</v>
      </c>
      <c r="Q27" s="1">
        <v>33635</v>
      </c>
      <c r="R27" s="1">
        <v>29644</v>
      </c>
      <c r="S27" s="3">
        <v>0.33333333333333331</v>
      </c>
      <c r="T27" s="3">
        <v>0.46507936999999999</v>
      </c>
      <c r="U27" t="s">
        <v>27</v>
      </c>
      <c r="V27" t="s">
        <v>27</v>
      </c>
      <c r="W27">
        <v>2022</v>
      </c>
      <c r="X27">
        <f t="shared" si="0"/>
        <v>3.2062522480996809</v>
      </c>
      <c r="Y27">
        <f t="shared" si="1"/>
        <v>3.3707865168539324</v>
      </c>
    </row>
    <row r="28" spans="1:25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s="1">
        <v>34478</v>
      </c>
      <c r="G28" s="1">
        <v>25612</v>
      </c>
      <c r="H28" t="s">
        <v>79</v>
      </c>
      <c r="I28" s="1">
        <v>1418</v>
      </c>
      <c r="J28" s="2">
        <v>1356.9729299999999</v>
      </c>
      <c r="K28" s="2">
        <v>1.04497</v>
      </c>
      <c r="L28" t="s">
        <v>80</v>
      </c>
      <c r="M28" s="3">
        <v>4.8439999999999997E-2</v>
      </c>
      <c r="N28" s="3">
        <v>5.3379999999999997E-2</v>
      </c>
      <c r="O28" t="s">
        <v>29</v>
      </c>
      <c r="P28" s="3">
        <v>4.8719999999999999E-2</v>
      </c>
      <c r="Q28" s="1">
        <v>995168</v>
      </c>
      <c r="R28" s="1">
        <v>750467</v>
      </c>
      <c r="S28" s="3">
        <v>0.41466854724964741</v>
      </c>
      <c r="T28" s="3">
        <v>0.3518</v>
      </c>
      <c r="U28" t="s">
        <v>81</v>
      </c>
      <c r="V28" t="s">
        <v>82</v>
      </c>
      <c r="W28">
        <v>2023</v>
      </c>
      <c r="X28">
        <f t="shared" si="0"/>
        <v>5.2981919803217234</v>
      </c>
      <c r="Y28">
        <f t="shared" si="1"/>
        <v>5.5364672809620492</v>
      </c>
    </row>
    <row r="29" spans="1:25" x14ac:dyDescent="0.25">
      <c r="A29" s="5" t="s">
        <v>30</v>
      </c>
      <c r="B29" t="s">
        <v>31</v>
      </c>
      <c r="C29" t="s">
        <v>24</v>
      </c>
      <c r="D29" t="s">
        <v>25</v>
      </c>
      <c r="E29" t="s">
        <v>26</v>
      </c>
      <c r="F29" s="1">
        <v>19924</v>
      </c>
      <c r="G29" s="1">
        <v>15804</v>
      </c>
      <c r="H29" t="s">
        <v>83</v>
      </c>
      <c r="I29" s="1">
        <v>725</v>
      </c>
      <c r="J29" s="2">
        <v>720.48040000000003</v>
      </c>
      <c r="K29" s="2">
        <v>1.00627</v>
      </c>
      <c r="L29" t="s">
        <v>84</v>
      </c>
      <c r="M29" s="3">
        <v>3.2320000000000002E-2</v>
      </c>
      <c r="N29" s="3">
        <v>3.712E-2</v>
      </c>
      <c r="O29" t="s">
        <v>29</v>
      </c>
      <c r="P29" s="3">
        <v>3.4500000000000003E-2</v>
      </c>
      <c r="Q29" s="1">
        <v>549239</v>
      </c>
      <c r="R29" s="1">
        <v>458203</v>
      </c>
      <c r="S29" s="3">
        <v>0.38344827586206898</v>
      </c>
      <c r="T29" s="3">
        <v>0.38357999999999998</v>
      </c>
      <c r="U29" t="s">
        <v>85</v>
      </c>
      <c r="V29" t="s">
        <v>86</v>
      </c>
      <c r="W29">
        <v>2023</v>
      </c>
      <c r="X29">
        <f t="shared" si="0"/>
        <v>4.5588483928119459</v>
      </c>
      <c r="Y29">
        <f t="shared" si="1"/>
        <v>4.5874462161478107</v>
      </c>
    </row>
    <row r="30" spans="1:25" x14ac:dyDescent="0.25">
      <c r="A30" s="5" t="s">
        <v>30</v>
      </c>
      <c r="B30" t="s">
        <v>33</v>
      </c>
      <c r="C30" t="s">
        <v>24</v>
      </c>
      <c r="D30" t="s">
        <v>25</v>
      </c>
      <c r="E30" t="s">
        <v>26</v>
      </c>
      <c r="F30" s="1">
        <v>1736</v>
      </c>
      <c r="G30" s="1">
        <v>1000</v>
      </c>
      <c r="H30" t="s">
        <v>87</v>
      </c>
      <c r="I30" s="1">
        <v>106</v>
      </c>
      <c r="J30" s="2">
        <v>104.47179</v>
      </c>
      <c r="K30" s="2">
        <v>1.0146299999999999</v>
      </c>
      <c r="L30" t="s">
        <v>88</v>
      </c>
      <c r="M30" s="3">
        <v>8.4029999999999994E-2</v>
      </c>
      <c r="N30" s="3">
        <v>0.11988</v>
      </c>
      <c r="O30" t="s">
        <v>29</v>
      </c>
      <c r="P30" s="3">
        <v>0.10049</v>
      </c>
      <c r="Q30" s="1">
        <v>81397</v>
      </c>
      <c r="R30" s="1">
        <v>42663</v>
      </c>
      <c r="S30" s="3">
        <v>0.36792452830188682</v>
      </c>
      <c r="T30" s="3">
        <v>0.33822999999999998</v>
      </c>
      <c r="U30" t="s">
        <v>89</v>
      </c>
      <c r="V30" t="s">
        <v>90</v>
      </c>
      <c r="W30">
        <v>2023</v>
      </c>
      <c r="X30">
        <f t="shared" si="0"/>
        <v>10.447179</v>
      </c>
      <c r="Y30">
        <f t="shared" si="1"/>
        <v>10.6</v>
      </c>
    </row>
    <row r="31" spans="1:25" x14ac:dyDescent="0.25">
      <c r="A31" s="5" t="s">
        <v>30</v>
      </c>
      <c r="B31" t="s">
        <v>35</v>
      </c>
      <c r="C31" t="s">
        <v>24</v>
      </c>
      <c r="D31" t="s">
        <v>25</v>
      </c>
      <c r="E31" t="s">
        <v>26</v>
      </c>
      <c r="F31" s="1">
        <v>2687</v>
      </c>
      <c r="G31" s="1">
        <v>1996</v>
      </c>
      <c r="H31" t="s">
        <v>91</v>
      </c>
      <c r="I31" s="1">
        <v>123</v>
      </c>
      <c r="J31" s="2">
        <v>133.98863</v>
      </c>
      <c r="K31" s="2">
        <v>0.91798999999999997</v>
      </c>
      <c r="L31" t="s">
        <v>92</v>
      </c>
      <c r="M31" s="3">
        <v>5.2440000000000001E-2</v>
      </c>
      <c r="N31" s="3">
        <v>7.4870000000000006E-2</v>
      </c>
      <c r="O31" t="s">
        <v>29</v>
      </c>
      <c r="P31" s="3">
        <v>6.9339999999999999E-2</v>
      </c>
      <c r="Q31" s="1">
        <v>45693</v>
      </c>
      <c r="R31" s="1">
        <v>32059</v>
      </c>
      <c r="S31" s="3">
        <v>0.69918699186991873</v>
      </c>
      <c r="T31" s="3">
        <v>0.43275000000000002</v>
      </c>
      <c r="U31" t="s">
        <v>93</v>
      </c>
      <c r="V31" t="s">
        <v>94</v>
      </c>
      <c r="W31">
        <v>2023</v>
      </c>
      <c r="X31">
        <f t="shared" si="0"/>
        <v>6.7128572144288583</v>
      </c>
      <c r="Y31">
        <f t="shared" si="1"/>
        <v>6.162324649298597</v>
      </c>
    </row>
    <row r="32" spans="1:25" x14ac:dyDescent="0.25">
      <c r="A32" s="5" t="s">
        <v>30</v>
      </c>
      <c r="B32" t="s">
        <v>37</v>
      </c>
      <c r="C32" t="s">
        <v>24</v>
      </c>
      <c r="D32" t="s">
        <v>25</v>
      </c>
      <c r="E32" t="s">
        <v>38</v>
      </c>
      <c r="F32" s="1">
        <v>2681</v>
      </c>
      <c r="G32" s="1">
        <v>1739</v>
      </c>
      <c r="H32" t="s">
        <v>95</v>
      </c>
      <c r="I32" s="1">
        <v>94</v>
      </c>
      <c r="J32" s="2">
        <v>90.371859999999998</v>
      </c>
      <c r="K32" s="2">
        <v>1.0401499999999999</v>
      </c>
      <c r="L32" t="s">
        <v>96</v>
      </c>
      <c r="M32" s="3">
        <v>4.7050000000000002E-2</v>
      </c>
      <c r="N32" s="3">
        <v>6.9250000000000006E-2</v>
      </c>
      <c r="O32" t="s">
        <v>40</v>
      </c>
      <c r="P32" s="3">
        <v>5.5899999999999998E-2</v>
      </c>
      <c r="Q32" s="1">
        <v>57173</v>
      </c>
      <c r="R32" s="1">
        <v>39711</v>
      </c>
      <c r="S32" s="3">
        <v>0.54255319148936165</v>
      </c>
      <c r="T32" s="3">
        <v>0.33918999999999999</v>
      </c>
      <c r="U32" t="s">
        <v>97</v>
      </c>
      <c r="V32" t="s">
        <v>98</v>
      </c>
      <c r="W32">
        <v>2023</v>
      </c>
      <c r="X32">
        <f t="shared" si="0"/>
        <v>5.1967717078780913</v>
      </c>
      <c r="Y32">
        <f t="shared" si="1"/>
        <v>5.4054054054054053</v>
      </c>
    </row>
    <row r="33" spans="1:25" x14ac:dyDescent="0.25">
      <c r="A33" s="5" t="s">
        <v>30</v>
      </c>
      <c r="B33" t="s">
        <v>41</v>
      </c>
      <c r="C33" t="s">
        <v>24</v>
      </c>
      <c r="D33" t="s">
        <v>25</v>
      </c>
      <c r="E33" t="s">
        <v>26</v>
      </c>
      <c r="F33" s="1">
        <v>7450</v>
      </c>
      <c r="G33" s="1">
        <v>5488</v>
      </c>
      <c r="H33" t="s">
        <v>99</v>
      </c>
      <c r="I33" s="1">
        <v>438</v>
      </c>
      <c r="J33" s="2">
        <v>419.08188999999999</v>
      </c>
      <c r="K33" s="2">
        <v>1.04514</v>
      </c>
      <c r="L33" t="s">
        <v>100</v>
      </c>
      <c r="M33" s="3">
        <v>6.8750000000000006E-2</v>
      </c>
      <c r="N33" s="3">
        <v>8.1710000000000005E-2</v>
      </c>
      <c r="O33" t="s">
        <v>29</v>
      </c>
      <c r="P33" s="3">
        <v>7.1980000000000002E-2</v>
      </c>
      <c r="Q33" s="1">
        <v>261592</v>
      </c>
      <c r="R33" s="1">
        <v>189781</v>
      </c>
      <c r="S33" s="3">
        <v>0.36301369863013699</v>
      </c>
      <c r="T33" s="3">
        <v>0.2928</v>
      </c>
      <c r="U33" t="s">
        <v>101</v>
      </c>
      <c r="V33" t="s">
        <v>102</v>
      </c>
      <c r="W33">
        <v>2023</v>
      </c>
      <c r="X33">
        <f t="shared" si="0"/>
        <v>7.6363318148688046</v>
      </c>
      <c r="Y33">
        <f t="shared" si="1"/>
        <v>7.981049562682216</v>
      </c>
    </row>
    <row r="34" spans="1:25" x14ac:dyDescent="0.25">
      <c r="A34" s="5" t="s">
        <v>43</v>
      </c>
      <c r="B34" t="s">
        <v>44</v>
      </c>
      <c r="C34" t="s">
        <v>24</v>
      </c>
      <c r="D34" t="s">
        <v>25</v>
      </c>
      <c r="E34" t="s">
        <v>45</v>
      </c>
      <c r="F34" s="1">
        <v>1096</v>
      </c>
      <c r="G34" s="1">
        <v>488</v>
      </c>
      <c r="H34" t="s">
        <v>103</v>
      </c>
      <c r="I34" s="1">
        <v>34</v>
      </c>
      <c r="J34" s="2">
        <v>36.325659999999999</v>
      </c>
      <c r="K34" s="2">
        <v>0.93598000000000003</v>
      </c>
      <c r="L34" t="s">
        <v>104</v>
      </c>
      <c r="M34" s="3">
        <v>5.3449999999999998E-2</v>
      </c>
      <c r="N34" s="3">
        <v>0.10623</v>
      </c>
      <c r="O34" t="s">
        <v>47</v>
      </c>
      <c r="P34" s="3">
        <v>8.5300000000000001E-2</v>
      </c>
      <c r="Q34" s="1">
        <v>16750</v>
      </c>
      <c r="R34" s="1">
        <v>9894</v>
      </c>
      <c r="S34" s="3">
        <v>0.41176470588235292</v>
      </c>
      <c r="T34" s="3">
        <v>0.38269999999999998</v>
      </c>
      <c r="U34" t="s">
        <v>105</v>
      </c>
      <c r="V34" t="s">
        <v>106</v>
      </c>
      <c r="W34">
        <v>2023</v>
      </c>
      <c r="X34">
        <f t="shared" si="0"/>
        <v>7.4437827868852464</v>
      </c>
      <c r="Y34">
        <f t="shared" si="1"/>
        <v>6.9672131147540979</v>
      </c>
    </row>
    <row r="35" spans="1:25" x14ac:dyDescent="0.25">
      <c r="A35" s="5" t="s">
        <v>43</v>
      </c>
      <c r="B35" t="s">
        <v>48</v>
      </c>
      <c r="C35" t="s">
        <v>24</v>
      </c>
      <c r="D35" t="s">
        <v>25</v>
      </c>
      <c r="E35" t="s">
        <v>49</v>
      </c>
      <c r="F35" s="1">
        <v>186</v>
      </c>
      <c r="G35" s="1">
        <v>115</v>
      </c>
      <c r="H35" t="s">
        <v>107</v>
      </c>
      <c r="I35" s="1">
        <v>13</v>
      </c>
      <c r="J35" s="2">
        <v>13.22161</v>
      </c>
      <c r="K35" s="2">
        <v>0.98324</v>
      </c>
      <c r="L35" t="s">
        <v>108</v>
      </c>
      <c r="M35" s="3">
        <v>5.457E-2</v>
      </c>
      <c r="N35" s="3">
        <v>0.16694000000000001</v>
      </c>
      <c r="O35" t="s">
        <v>51</v>
      </c>
      <c r="P35" s="3">
        <v>0.11264</v>
      </c>
      <c r="Q35" s="1">
        <v>10193</v>
      </c>
      <c r="R35" s="1">
        <v>6543</v>
      </c>
      <c r="S35" s="3">
        <v>0.61538461538461542</v>
      </c>
      <c r="T35" s="3">
        <v>0.3962</v>
      </c>
      <c r="U35" t="s">
        <v>109</v>
      </c>
      <c r="V35" t="s">
        <v>110</v>
      </c>
      <c r="W35">
        <v>2023</v>
      </c>
      <c r="X35">
        <f t="shared" si="0"/>
        <v>11.497052173913042</v>
      </c>
      <c r="Y35">
        <f t="shared" si="1"/>
        <v>11.304347826086957</v>
      </c>
    </row>
    <row r="36" spans="1:25" x14ac:dyDescent="0.25">
      <c r="A36" s="5" t="s">
        <v>43</v>
      </c>
      <c r="B36" t="s">
        <v>52</v>
      </c>
      <c r="C36" t="s">
        <v>24</v>
      </c>
      <c r="D36" t="s">
        <v>25</v>
      </c>
      <c r="E36" t="s">
        <v>45</v>
      </c>
      <c r="F36" s="1">
        <v>559</v>
      </c>
      <c r="G36" s="1">
        <v>352</v>
      </c>
      <c r="H36" t="s">
        <v>111</v>
      </c>
      <c r="I36" s="1">
        <v>43</v>
      </c>
      <c r="J36" s="2">
        <v>44.238059999999997</v>
      </c>
      <c r="K36" s="2">
        <v>0.97201000000000004</v>
      </c>
      <c r="L36" t="s">
        <v>112</v>
      </c>
      <c r="M36" s="3">
        <v>8.6279999999999996E-2</v>
      </c>
      <c r="N36" s="3">
        <v>0.15368000000000001</v>
      </c>
      <c r="O36" t="s">
        <v>47</v>
      </c>
      <c r="P36" s="3">
        <v>0.12343</v>
      </c>
      <c r="Q36" s="1">
        <v>21428</v>
      </c>
      <c r="R36" s="1">
        <v>14753</v>
      </c>
      <c r="S36" s="3">
        <v>0.44186046511627908</v>
      </c>
      <c r="T36" s="3">
        <v>0.35694999999999999</v>
      </c>
      <c r="U36" t="s">
        <v>113</v>
      </c>
      <c r="V36" t="s">
        <v>114</v>
      </c>
      <c r="W36">
        <v>2023</v>
      </c>
      <c r="X36">
        <f t="shared" si="0"/>
        <v>12.567630681818182</v>
      </c>
      <c r="Y36">
        <f t="shared" si="1"/>
        <v>12.215909090909092</v>
      </c>
    </row>
    <row r="37" spans="1:25" x14ac:dyDescent="0.25">
      <c r="A37" s="5" t="s">
        <v>43</v>
      </c>
      <c r="B37" t="s">
        <v>55</v>
      </c>
      <c r="C37" t="s">
        <v>24</v>
      </c>
      <c r="D37" t="s">
        <v>25</v>
      </c>
      <c r="E37" t="s">
        <v>45</v>
      </c>
      <c r="F37" s="1">
        <v>519</v>
      </c>
      <c r="G37" s="1">
        <v>349</v>
      </c>
      <c r="H37" t="s">
        <v>115</v>
      </c>
      <c r="I37" s="1">
        <v>34</v>
      </c>
      <c r="J37" s="2">
        <v>40.336039999999997</v>
      </c>
      <c r="K37" s="2">
        <v>0.84292</v>
      </c>
      <c r="L37" t="s">
        <v>116</v>
      </c>
      <c r="M37" s="3">
        <v>5.033E-2</v>
      </c>
      <c r="N37" s="3">
        <v>0.10159</v>
      </c>
      <c r="O37" t="s">
        <v>47</v>
      </c>
      <c r="P37" s="3">
        <v>9.0109999999999996E-2</v>
      </c>
      <c r="Q37" s="1">
        <v>31466</v>
      </c>
      <c r="R37" s="1">
        <v>14859</v>
      </c>
      <c r="S37" s="3">
        <v>0.1470588235294118</v>
      </c>
      <c r="T37" s="3">
        <v>0.26960000000000001</v>
      </c>
      <c r="U37" t="s">
        <v>117</v>
      </c>
      <c r="V37" t="s">
        <v>118</v>
      </c>
      <c r="W37">
        <v>2023</v>
      </c>
      <c r="X37">
        <f t="shared" si="0"/>
        <v>11.557604584527221</v>
      </c>
      <c r="Y37">
        <f t="shared" si="1"/>
        <v>9.7421203438395416</v>
      </c>
    </row>
    <row r="38" spans="1:25" x14ac:dyDescent="0.25">
      <c r="A38" s="5" t="s">
        <v>43</v>
      </c>
      <c r="B38" t="s">
        <v>57</v>
      </c>
      <c r="C38" t="s">
        <v>24</v>
      </c>
      <c r="D38" t="s">
        <v>25</v>
      </c>
      <c r="E38" t="s">
        <v>45</v>
      </c>
      <c r="F38" s="1">
        <v>1280</v>
      </c>
      <c r="G38" s="1">
        <v>619</v>
      </c>
      <c r="H38" t="s">
        <v>119</v>
      </c>
      <c r="I38" s="1">
        <v>27</v>
      </c>
      <c r="J38" s="2">
        <v>33.5398</v>
      </c>
      <c r="K38" s="2">
        <v>0.80501</v>
      </c>
      <c r="L38" t="s">
        <v>120</v>
      </c>
      <c r="M38" s="3">
        <v>2.6280000000000001E-2</v>
      </c>
      <c r="N38" s="3">
        <v>6.2179999999999999E-2</v>
      </c>
      <c r="O38" t="s">
        <v>47</v>
      </c>
      <c r="P38" s="3">
        <v>5.4949999999999999E-2</v>
      </c>
      <c r="Q38" s="1">
        <v>14817</v>
      </c>
      <c r="R38" s="1">
        <v>9555</v>
      </c>
      <c r="S38" s="3">
        <v>0.66666666666666663</v>
      </c>
      <c r="T38" s="3">
        <v>0.42286000000000001</v>
      </c>
      <c r="U38" t="s">
        <v>121</v>
      </c>
      <c r="V38" t="s">
        <v>81</v>
      </c>
      <c r="W38">
        <v>2023</v>
      </c>
      <c r="X38">
        <f t="shared" si="0"/>
        <v>5.4183844911147014</v>
      </c>
      <c r="Y38">
        <f t="shared" si="1"/>
        <v>4.3618739903069468</v>
      </c>
    </row>
    <row r="39" spans="1:25" x14ac:dyDescent="0.25">
      <c r="A39" s="5" t="s">
        <v>59</v>
      </c>
      <c r="B39" t="s">
        <v>60</v>
      </c>
      <c r="C39" t="s">
        <v>24</v>
      </c>
      <c r="D39" t="s">
        <v>63</v>
      </c>
      <c r="E39" t="s">
        <v>64</v>
      </c>
      <c r="F39" s="1">
        <v>248</v>
      </c>
      <c r="G39" s="1">
        <v>219</v>
      </c>
      <c r="H39" t="s">
        <v>122</v>
      </c>
      <c r="I39" s="1">
        <v>19</v>
      </c>
      <c r="J39" s="2">
        <v>9.3884899999999991</v>
      </c>
      <c r="K39" s="2">
        <v>2.0237500000000002</v>
      </c>
      <c r="M39" s="3" t="s">
        <v>65</v>
      </c>
      <c r="N39" s="3" t="s">
        <v>65</v>
      </c>
      <c r="O39" t="s">
        <v>66</v>
      </c>
      <c r="P39" s="3">
        <v>4.0710000000000003E-2</v>
      </c>
      <c r="Q39" s="1">
        <v>2385</v>
      </c>
      <c r="R39" s="1">
        <v>2039</v>
      </c>
      <c r="S39" s="3">
        <v>0.47368421052631582</v>
      </c>
      <c r="T39" s="3">
        <v>0.28915999999999997</v>
      </c>
      <c r="U39" t="s">
        <v>113</v>
      </c>
      <c r="V39" t="s">
        <v>123</v>
      </c>
      <c r="W39">
        <v>2023</v>
      </c>
      <c r="X39">
        <f t="shared" si="0"/>
        <v>4.2869817351598174</v>
      </c>
      <c r="Y39">
        <f t="shared" si="1"/>
        <v>8.6757990867579906</v>
      </c>
    </row>
    <row r="40" spans="1:25" x14ac:dyDescent="0.25">
      <c r="A40" s="5" t="s">
        <v>59</v>
      </c>
      <c r="B40" t="s">
        <v>62</v>
      </c>
      <c r="C40" t="s">
        <v>24</v>
      </c>
      <c r="D40" t="s">
        <v>63</v>
      </c>
      <c r="E40" t="s">
        <v>64</v>
      </c>
      <c r="F40" s="1">
        <v>128</v>
      </c>
      <c r="G40" s="1">
        <v>101</v>
      </c>
      <c r="H40" t="s">
        <v>124</v>
      </c>
      <c r="I40" s="1">
        <v>3</v>
      </c>
      <c r="J40" s="2">
        <v>4.2527100000000004</v>
      </c>
      <c r="K40" s="2">
        <v>0.70543</v>
      </c>
      <c r="M40" s="3" t="s">
        <v>65</v>
      </c>
      <c r="N40" s="3" t="s">
        <v>65</v>
      </c>
      <c r="O40" t="s">
        <v>66</v>
      </c>
      <c r="P40" s="3" t="s">
        <v>65</v>
      </c>
      <c r="Q40" s="1">
        <v>36146</v>
      </c>
      <c r="R40" s="1">
        <v>31536</v>
      </c>
      <c r="S40" s="3">
        <v>1</v>
      </c>
      <c r="T40" s="3">
        <v>0.44007000000000002</v>
      </c>
      <c r="U40" t="s">
        <v>125</v>
      </c>
      <c r="V40" t="s">
        <v>126</v>
      </c>
      <c r="W40">
        <v>2023</v>
      </c>
      <c r="X40">
        <f t="shared" si="0"/>
        <v>4.2106039603960399</v>
      </c>
      <c r="Y40">
        <f t="shared" si="1"/>
        <v>2.9702970297029703</v>
      </c>
    </row>
    <row r="41" spans="1:25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s="1">
        <v>35333</v>
      </c>
      <c r="G41" s="1">
        <v>26969</v>
      </c>
      <c r="H41" t="s">
        <v>127</v>
      </c>
      <c r="I41" s="1">
        <v>1555</v>
      </c>
      <c r="J41" s="2">
        <v>1527.39482</v>
      </c>
      <c r="K41" s="2">
        <v>1.01807</v>
      </c>
      <c r="L41" t="s">
        <v>128</v>
      </c>
      <c r="M41" s="3">
        <v>4.8649999999999999E-2</v>
      </c>
      <c r="N41" s="3">
        <v>5.3420000000000002E-2</v>
      </c>
      <c r="O41" t="s">
        <v>29</v>
      </c>
      <c r="P41" s="3">
        <v>5.0130000000000001E-2</v>
      </c>
      <c r="Q41" s="1">
        <v>984209</v>
      </c>
      <c r="R41" s="1">
        <v>766877</v>
      </c>
      <c r="S41" s="3">
        <v>0.38906752411575563</v>
      </c>
      <c r="T41" s="3">
        <v>0.34566999999999998</v>
      </c>
      <c r="U41" t="s">
        <v>98</v>
      </c>
      <c r="V41" t="s">
        <v>98</v>
      </c>
      <c r="W41">
        <v>2024</v>
      </c>
      <c r="X41">
        <f t="shared" si="0"/>
        <v>5.663520412325262</v>
      </c>
      <c r="Y41">
        <f t="shared" si="1"/>
        <v>5.7658793429493125</v>
      </c>
    </row>
    <row r="42" spans="1:25" x14ac:dyDescent="0.25">
      <c r="A42" s="5" t="s">
        <v>30</v>
      </c>
      <c r="B42" t="s">
        <v>31</v>
      </c>
      <c r="C42" t="s">
        <v>24</v>
      </c>
      <c r="D42" t="s">
        <v>25</v>
      </c>
      <c r="E42" t="s">
        <v>26</v>
      </c>
      <c r="F42" s="1">
        <v>20529</v>
      </c>
      <c r="G42" s="1">
        <v>16505</v>
      </c>
      <c r="H42" t="s">
        <v>129</v>
      </c>
      <c r="I42" s="1">
        <v>773</v>
      </c>
      <c r="J42" s="2">
        <v>754.77261999999996</v>
      </c>
      <c r="K42" s="2">
        <v>1.0241499999999999</v>
      </c>
      <c r="L42" t="s">
        <v>130</v>
      </c>
      <c r="M42" s="3">
        <v>3.338E-2</v>
      </c>
      <c r="N42" s="3">
        <v>3.8109999999999998E-2</v>
      </c>
      <c r="O42" t="s">
        <v>29</v>
      </c>
      <c r="P42" s="3">
        <v>3.49E-2</v>
      </c>
      <c r="Q42" s="1">
        <v>551442</v>
      </c>
      <c r="R42" s="1">
        <v>464977</v>
      </c>
      <c r="S42" s="3">
        <v>0.4023285899094437</v>
      </c>
      <c r="T42" s="3">
        <v>0.38179000000000002</v>
      </c>
      <c r="U42" t="s">
        <v>131</v>
      </c>
      <c r="V42" t="s">
        <v>132</v>
      </c>
      <c r="W42">
        <v>2024</v>
      </c>
      <c r="X42">
        <f t="shared" si="0"/>
        <v>4.5729937594668275</v>
      </c>
      <c r="Y42">
        <f t="shared" si="1"/>
        <v>4.6834292638594368</v>
      </c>
    </row>
    <row r="43" spans="1:25" x14ac:dyDescent="0.25">
      <c r="A43" s="5" t="s">
        <v>30</v>
      </c>
      <c r="B43" t="s">
        <v>33</v>
      </c>
      <c r="C43" t="s">
        <v>24</v>
      </c>
      <c r="D43" t="s">
        <v>25</v>
      </c>
      <c r="E43" t="s">
        <v>26</v>
      </c>
      <c r="F43" s="1">
        <v>1920</v>
      </c>
      <c r="G43" s="1">
        <v>1285</v>
      </c>
      <c r="H43" t="s">
        <v>133</v>
      </c>
      <c r="I43" s="1">
        <v>144</v>
      </c>
      <c r="J43" s="2">
        <v>137.08436</v>
      </c>
      <c r="K43" s="2">
        <v>1.0504500000000001</v>
      </c>
      <c r="L43" t="s">
        <v>134</v>
      </c>
      <c r="M43" s="3">
        <v>8.9149999999999993E-2</v>
      </c>
      <c r="N43" s="3">
        <v>0.12001000000000001</v>
      </c>
      <c r="O43" t="s">
        <v>29</v>
      </c>
      <c r="P43" s="3">
        <v>9.9559999999999996E-2</v>
      </c>
      <c r="Q43" s="1">
        <v>74026</v>
      </c>
      <c r="R43" s="1">
        <v>47811</v>
      </c>
      <c r="S43" s="3">
        <v>0.3263888888888889</v>
      </c>
      <c r="T43" s="3">
        <v>0.32142999999999999</v>
      </c>
      <c r="U43" t="s">
        <v>135</v>
      </c>
      <c r="V43" t="s">
        <v>136</v>
      </c>
      <c r="W43">
        <v>2024</v>
      </c>
      <c r="X43">
        <f t="shared" si="0"/>
        <v>10.668043579766536</v>
      </c>
      <c r="Y43">
        <f t="shared" si="1"/>
        <v>11.206225680933853</v>
      </c>
    </row>
    <row r="44" spans="1:25" x14ac:dyDescent="0.25">
      <c r="A44" s="5" t="s">
        <v>30</v>
      </c>
      <c r="B44" t="s">
        <v>35</v>
      </c>
      <c r="C44" t="s">
        <v>24</v>
      </c>
      <c r="D44" t="s">
        <v>137</v>
      </c>
      <c r="E44" t="s">
        <v>26</v>
      </c>
      <c r="F44" s="1">
        <v>2635</v>
      </c>
      <c r="G44" s="1">
        <v>2030</v>
      </c>
      <c r="H44" t="s">
        <v>138</v>
      </c>
      <c r="I44" s="1">
        <v>155</v>
      </c>
      <c r="J44" s="2">
        <v>130.27545000000001</v>
      </c>
      <c r="K44" s="2">
        <v>1.1897899999999999</v>
      </c>
      <c r="L44" t="s">
        <v>139</v>
      </c>
      <c r="M44" s="3">
        <v>7.1349999999999997E-2</v>
      </c>
      <c r="N44" s="3">
        <v>9.4189999999999996E-2</v>
      </c>
      <c r="O44" t="s">
        <v>29</v>
      </c>
      <c r="P44" s="3">
        <v>6.9570000000000007E-2</v>
      </c>
      <c r="Q44" s="1">
        <v>44419</v>
      </c>
      <c r="R44" s="1">
        <v>32112</v>
      </c>
      <c r="S44" s="3">
        <v>0.65806451612903227</v>
      </c>
      <c r="T44" s="3">
        <v>0.42614000000000002</v>
      </c>
      <c r="U44" t="s">
        <v>140</v>
      </c>
      <c r="V44" t="s">
        <v>141</v>
      </c>
      <c r="W44">
        <v>2024</v>
      </c>
      <c r="X44">
        <f t="shared" si="0"/>
        <v>6.4175098522167486</v>
      </c>
      <c r="Y44">
        <f t="shared" si="1"/>
        <v>7.6354679802955667</v>
      </c>
    </row>
    <row r="45" spans="1:25" x14ac:dyDescent="0.25">
      <c r="A45" s="5" t="s">
        <v>30</v>
      </c>
      <c r="B45" t="s">
        <v>37</v>
      </c>
      <c r="C45" t="s">
        <v>24</v>
      </c>
      <c r="D45" t="s">
        <v>53</v>
      </c>
      <c r="E45" t="s">
        <v>26</v>
      </c>
      <c r="F45" s="1">
        <v>2723</v>
      </c>
      <c r="G45" s="1">
        <v>1852</v>
      </c>
      <c r="H45" t="s">
        <v>142</v>
      </c>
      <c r="I45" s="1">
        <v>76</v>
      </c>
      <c r="J45" s="2">
        <v>107.6575</v>
      </c>
      <c r="K45" s="2">
        <v>0.70594000000000001</v>
      </c>
      <c r="L45" t="s">
        <v>143</v>
      </c>
      <c r="M45" s="3">
        <v>3.1480000000000001E-2</v>
      </c>
      <c r="N45" s="3">
        <v>5.3269999999999998E-2</v>
      </c>
      <c r="O45" t="s">
        <v>29</v>
      </c>
      <c r="P45" s="3">
        <v>6.0019999999999997E-2</v>
      </c>
      <c r="Q45" s="1">
        <v>55362</v>
      </c>
      <c r="R45" s="1">
        <v>39536</v>
      </c>
      <c r="S45" s="3">
        <v>0.42105263157894729</v>
      </c>
      <c r="T45" s="3">
        <v>0.33123000000000002</v>
      </c>
      <c r="U45" t="s">
        <v>144</v>
      </c>
      <c r="V45" t="s">
        <v>145</v>
      </c>
      <c r="W45">
        <v>2024</v>
      </c>
      <c r="X45">
        <f t="shared" si="0"/>
        <v>5.8130399568034559</v>
      </c>
      <c r="Y45">
        <f t="shared" si="1"/>
        <v>4.1036717062634986</v>
      </c>
    </row>
    <row r="46" spans="1:25" x14ac:dyDescent="0.25">
      <c r="A46" s="5" t="s">
        <v>30</v>
      </c>
      <c r="B46" t="s">
        <v>41</v>
      </c>
      <c r="C46" t="s">
        <v>24</v>
      </c>
      <c r="D46" t="s">
        <v>25</v>
      </c>
      <c r="E46" t="s">
        <v>26</v>
      </c>
      <c r="F46" s="1">
        <v>7526</v>
      </c>
      <c r="G46" s="1">
        <v>5757</v>
      </c>
      <c r="H46" t="s">
        <v>146</v>
      </c>
      <c r="I46" s="1">
        <v>484</v>
      </c>
      <c r="J46" s="2">
        <v>475.9153</v>
      </c>
      <c r="K46" s="2">
        <v>1.0169900000000001</v>
      </c>
      <c r="L46" t="s">
        <v>147</v>
      </c>
      <c r="M46" s="3">
        <v>7.0110000000000006E-2</v>
      </c>
      <c r="N46" s="3">
        <v>8.2750000000000004E-2</v>
      </c>
      <c r="O46" t="s">
        <v>29</v>
      </c>
      <c r="P46" s="3">
        <v>7.5149999999999995E-2</v>
      </c>
      <c r="Q46" s="1">
        <v>258890</v>
      </c>
      <c r="R46" s="1">
        <v>195359</v>
      </c>
      <c r="S46" s="3">
        <v>0.28719008264462809</v>
      </c>
      <c r="T46" s="3">
        <v>0.28641</v>
      </c>
      <c r="U46" t="s">
        <v>148</v>
      </c>
      <c r="V46" t="s">
        <v>149</v>
      </c>
      <c r="W46">
        <v>2024</v>
      </c>
      <c r="X46">
        <f t="shared" si="0"/>
        <v>8.2667239881882928</v>
      </c>
      <c r="Y46">
        <f t="shared" si="1"/>
        <v>8.4071565051241972</v>
      </c>
    </row>
    <row r="47" spans="1:25" x14ac:dyDescent="0.25">
      <c r="A47" s="5" t="s">
        <v>43</v>
      </c>
      <c r="B47" t="s">
        <v>44</v>
      </c>
      <c r="C47" t="s">
        <v>24</v>
      </c>
      <c r="D47" t="s">
        <v>25</v>
      </c>
      <c r="E47" t="s">
        <v>45</v>
      </c>
      <c r="F47" s="1">
        <v>1107</v>
      </c>
      <c r="G47" s="1">
        <v>526</v>
      </c>
      <c r="H47" t="s">
        <v>150</v>
      </c>
      <c r="I47" s="1">
        <v>23</v>
      </c>
      <c r="J47" s="2">
        <v>27.396730000000002</v>
      </c>
      <c r="K47" s="2">
        <v>0.83952000000000004</v>
      </c>
      <c r="L47" t="s">
        <v>151</v>
      </c>
      <c r="M47" s="3">
        <v>3.193E-2</v>
      </c>
      <c r="N47" s="3">
        <v>7.9799999999999996E-2</v>
      </c>
      <c r="O47" t="s">
        <v>47</v>
      </c>
      <c r="P47" s="3">
        <v>6.6549999999999998E-2</v>
      </c>
      <c r="Q47" s="1">
        <v>16155</v>
      </c>
      <c r="R47" s="1">
        <v>9918</v>
      </c>
      <c r="S47" s="3">
        <v>0.52173913043478259</v>
      </c>
      <c r="T47" s="3">
        <v>0.40303</v>
      </c>
      <c r="U47" t="s">
        <v>152</v>
      </c>
      <c r="V47" t="s">
        <v>153</v>
      </c>
      <c r="W47">
        <v>2024</v>
      </c>
      <c r="X47">
        <f t="shared" si="0"/>
        <v>5.2085038022813688</v>
      </c>
      <c r="Y47">
        <f t="shared" si="1"/>
        <v>4.3726235741444865</v>
      </c>
    </row>
    <row r="48" spans="1:25" x14ac:dyDescent="0.25">
      <c r="A48" s="5" t="s">
        <v>43</v>
      </c>
      <c r="B48" t="s">
        <v>48</v>
      </c>
      <c r="C48" t="s">
        <v>24</v>
      </c>
      <c r="D48" t="s">
        <v>25</v>
      </c>
      <c r="E48" t="s">
        <v>49</v>
      </c>
      <c r="F48" s="1">
        <v>238</v>
      </c>
      <c r="G48" s="1">
        <v>163</v>
      </c>
      <c r="H48" t="s">
        <v>122</v>
      </c>
      <c r="I48" s="1">
        <v>14</v>
      </c>
      <c r="J48" s="2">
        <v>19.309329999999999</v>
      </c>
      <c r="K48" s="2">
        <v>0.72504000000000002</v>
      </c>
      <c r="L48" t="s">
        <v>154</v>
      </c>
      <c r="M48" s="3">
        <v>3.5920000000000001E-2</v>
      </c>
      <c r="N48" s="3">
        <v>0.13013</v>
      </c>
      <c r="O48" t="s">
        <v>51</v>
      </c>
      <c r="P48" s="3">
        <v>0.11451</v>
      </c>
      <c r="Q48" s="1">
        <v>10060</v>
      </c>
      <c r="R48" s="1">
        <v>7248</v>
      </c>
      <c r="S48" s="3">
        <v>0.35714285714285721</v>
      </c>
      <c r="T48" s="3">
        <v>0.35904000000000003</v>
      </c>
      <c r="U48" t="s">
        <v>155</v>
      </c>
      <c r="V48" t="s">
        <v>156</v>
      </c>
      <c r="W48">
        <v>2024</v>
      </c>
      <c r="X48">
        <f t="shared" si="0"/>
        <v>11.84621472392638</v>
      </c>
      <c r="Y48">
        <f t="shared" si="1"/>
        <v>8.5889570552147241</v>
      </c>
    </row>
    <row r="49" spans="1:25" x14ac:dyDescent="0.25">
      <c r="A49" s="5" t="s">
        <v>43</v>
      </c>
      <c r="B49" t="s">
        <v>52</v>
      </c>
      <c r="C49" t="s">
        <v>24</v>
      </c>
      <c r="D49" t="s">
        <v>25</v>
      </c>
      <c r="E49" t="s">
        <v>38</v>
      </c>
      <c r="F49" s="1">
        <v>611</v>
      </c>
      <c r="G49" s="1">
        <v>420</v>
      </c>
      <c r="H49" t="s">
        <v>157</v>
      </c>
      <c r="I49" s="1">
        <v>52</v>
      </c>
      <c r="J49" s="2">
        <v>57.270249999999997</v>
      </c>
      <c r="K49" s="2">
        <v>0.90798000000000001</v>
      </c>
      <c r="L49" t="s">
        <v>158</v>
      </c>
      <c r="M49" s="3">
        <v>8.3159999999999998E-2</v>
      </c>
      <c r="N49" s="3">
        <v>0.14161000000000001</v>
      </c>
      <c r="O49" t="s">
        <v>40</v>
      </c>
      <c r="P49" s="3">
        <v>0.12378</v>
      </c>
      <c r="Q49" s="1">
        <v>20962</v>
      </c>
      <c r="R49" s="1">
        <v>15213</v>
      </c>
      <c r="S49" s="3">
        <v>0.44230769230769229</v>
      </c>
      <c r="T49" s="3">
        <v>0.34094999999999998</v>
      </c>
      <c r="U49" t="s">
        <v>159</v>
      </c>
      <c r="V49" t="s">
        <v>160</v>
      </c>
      <c r="W49">
        <v>2024</v>
      </c>
      <c r="X49">
        <f t="shared" si="0"/>
        <v>13.63577380952381</v>
      </c>
      <c r="Y49">
        <f t="shared" si="1"/>
        <v>12.380952380952381</v>
      </c>
    </row>
    <row r="50" spans="1:25" x14ac:dyDescent="0.25">
      <c r="A50" s="5" t="s">
        <v>43</v>
      </c>
      <c r="B50" t="s">
        <v>55</v>
      </c>
      <c r="C50" t="s">
        <v>24</v>
      </c>
      <c r="D50" t="s">
        <v>25</v>
      </c>
      <c r="E50" t="s">
        <v>38</v>
      </c>
      <c r="F50" s="1">
        <v>639</v>
      </c>
      <c r="G50" s="1">
        <v>539</v>
      </c>
      <c r="H50" t="s">
        <v>161</v>
      </c>
      <c r="I50" s="1">
        <v>61</v>
      </c>
      <c r="J50" s="2">
        <v>56.641660000000002</v>
      </c>
      <c r="K50" s="2">
        <v>1.0769500000000001</v>
      </c>
      <c r="L50" t="s">
        <v>162</v>
      </c>
      <c r="M50" s="3">
        <v>7.7329999999999996E-2</v>
      </c>
      <c r="N50" s="3">
        <v>0.12231</v>
      </c>
      <c r="O50" t="s">
        <v>40</v>
      </c>
      <c r="P50" s="3">
        <v>9.2689999999999995E-2</v>
      </c>
      <c r="Q50" s="1">
        <v>27965</v>
      </c>
      <c r="R50" s="1">
        <v>19938</v>
      </c>
      <c r="S50" s="3">
        <v>0.31147540983606559</v>
      </c>
      <c r="T50" s="3">
        <v>0.25866</v>
      </c>
      <c r="U50" t="s">
        <v>163</v>
      </c>
      <c r="V50" t="s">
        <v>164</v>
      </c>
      <c r="W50">
        <v>2024</v>
      </c>
      <c r="X50">
        <f t="shared" si="0"/>
        <v>10.508656771799629</v>
      </c>
      <c r="Y50">
        <f t="shared" si="1"/>
        <v>11.317254174397032</v>
      </c>
    </row>
    <row r="51" spans="1:25" x14ac:dyDescent="0.25">
      <c r="A51" s="5" t="s">
        <v>43</v>
      </c>
      <c r="B51" t="s">
        <v>57</v>
      </c>
      <c r="C51" t="s">
        <v>24</v>
      </c>
      <c r="D51" t="s">
        <v>53</v>
      </c>
      <c r="E51" t="s">
        <v>45</v>
      </c>
      <c r="F51" s="1">
        <v>1359</v>
      </c>
      <c r="G51" s="1">
        <v>778</v>
      </c>
      <c r="H51" t="s">
        <v>165</v>
      </c>
      <c r="I51" s="1">
        <v>27</v>
      </c>
      <c r="J51" s="2">
        <v>45.484369999999998</v>
      </c>
      <c r="K51" s="2">
        <v>0.59360999999999997</v>
      </c>
      <c r="L51" t="s">
        <v>166</v>
      </c>
      <c r="M51" s="3">
        <v>1.8190000000000001E-2</v>
      </c>
      <c r="N51" s="3">
        <v>5.0259999999999999E-2</v>
      </c>
      <c r="O51" t="s">
        <v>47</v>
      </c>
      <c r="P51" s="3">
        <v>5.7660000000000003E-2</v>
      </c>
      <c r="Q51" s="1">
        <v>14418</v>
      </c>
      <c r="R51" s="1">
        <v>9469</v>
      </c>
      <c r="S51" s="3">
        <v>0.70370370370370372</v>
      </c>
      <c r="T51" s="3">
        <v>0.41392000000000001</v>
      </c>
      <c r="U51" t="s">
        <v>167</v>
      </c>
      <c r="V51" t="s">
        <v>168</v>
      </c>
      <c r="W51">
        <v>2024</v>
      </c>
      <c r="X51">
        <f t="shared" si="0"/>
        <v>5.8463200514138816</v>
      </c>
      <c r="Y51">
        <f t="shared" si="1"/>
        <v>3.4704370179948589</v>
      </c>
    </row>
    <row r="52" spans="1:25" x14ac:dyDescent="0.25">
      <c r="A52" s="5" t="s">
        <v>59</v>
      </c>
      <c r="B52" t="s">
        <v>60</v>
      </c>
      <c r="C52" t="s">
        <v>24</v>
      </c>
      <c r="D52" t="s">
        <v>63</v>
      </c>
      <c r="E52" t="s">
        <v>64</v>
      </c>
      <c r="F52" s="1">
        <v>252</v>
      </c>
      <c r="G52" s="1">
        <v>218</v>
      </c>
      <c r="H52" t="s">
        <v>122</v>
      </c>
      <c r="I52" s="1">
        <v>19</v>
      </c>
      <c r="J52" s="2">
        <v>9.9929699999999997</v>
      </c>
      <c r="K52" s="2">
        <v>1.90134</v>
      </c>
      <c r="M52" s="3" t="s">
        <v>65</v>
      </c>
      <c r="N52" s="3" t="s">
        <v>65</v>
      </c>
      <c r="O52" t="s">
        <v>66</v>
      </c>
      <c r="P52" s="3">
        <v>4.4740000000000002E-2</v>
      </c>
      <c r="Q52" s="1">
        <v>2463</v>
      </c>
      <c r="R52" s="1">
        <v>2168</v>
      </c>
      <c r="S52" s="3">
        <v>0.57894736842105265</v>
      </c>
      <c r="T52" s="3">
        <v>0.27834999999999999</v>
      </c>
      <c r="U52" t="s">
        <v>169</v>
      </c>
      <c r="V52" t="s">
        <v>170</v>
      </c>
      <c r="W52">
        <v>2024</v>
      </c>
      <c r="X52">
        <f t="shared" si="0"/>
        <v>4.5839311926605504</v>
      </c>
      <c r="Y52">
        <f t="shared" si="1"/>
        <v>8.7155963302752291</v>
      </c>
    </row>
    <row r="53" spans="1:25" x14ac:dyDescent="0.25">
      <c r="A53" s="5" t="s">
        <v>59</v>
      </c>
      <c r="B53" t="s">
        <v>62</v>
      </c>
      <c r="C53" t="s">
        <v>24</v>
      </c>
      <c r="D53" t="s">
        <v>63</v>
      </c>
      <c r="E53" t="s">
        <v>64</v>
      </c>
      <c r="F53" s="1">
        <v>132</v>
      </c>
      <c r="G53" s="1">
        <v>109</v>
      </c>
      <c r="H53" t="s">
        <v>171</v>
      </c>
      <c r="I53" s="1">
        <v>5</v>
      </c>
      <c r="J53" s="2">
        <v>3.1905100000000002</v>
      </c>
      <c r="K53" s="2">
        <v>1.56715</v>
      </c>
      <c r="M53" s="3" t="s">
        <v>65</v>
      </c>
      <c r="N53" s="3" t="s">
        <v>65</v>
      </c>
      <c r="O53" t="s">
        <v>66</v>
      </c>
      <c r="P53" s="3">
        <v>1.8749999999999999E-2</v>
      </c>
      <c r="Q53" s="1">
        <v>37218</v>
      </c>
      <c r="R53" s="1">
        <v>32582</v>
      </c>
      <c r="S53" s="3">
        <v>0.2</v>
      </c>
      <c r="T53" s="3">
        <v>0.45662999999999998</v>
      </c>
      <c r="U53" t="s">
        <v>172</v>
      </c>
      <c r="V53" t="s">
        <v>173</v>
      </c>
      <c r="W53">
        <v>2024</v>
      </c>
      <c r="X53">
        <f t="shared" si="0"/>
        <v>2.9270733944954128</v>
      </c>
      <c r="Y53">
        <f t="shared" si="1"/>
        <v>4.5871559633027523</v>
      </c>
    </row>
  </sheetData>
  <mergeCells count="12">
    <mergeCell ref="A47:A51"/>
    <mergeCell ref="A52:A53"/>
    <mergeCell ref="A26:A27"/>
    <mergeCell ref="A29:A33"/>
    <mergeCell ref="A34:A38"/>
    <mergeCell ref="A39:A40"/>
    <mergeCell ref="A42:A46"/>
    <mergeCell ref="A3:A7"/>
    <mergeCell ref="A8:A12"/>
    <mergeCell ref="A13:A14"/>
    <mergeCell ref="A16:A20"/>
    <mergeCell ref="A21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Pacozzi, Luca</cp:lastModifiedBy>
  <dcterms:created xsi:type="dcterms:W3CDTF">2025-10-29T14:02:59Z</dcterms:created>
  <dcterms:modified xsi:type="dcterms:W3CDTF">2025-10-29T14:25:16Z</dcterms:modified>
</cp:coreProperties>
</file>