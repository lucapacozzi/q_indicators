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r300\USERS3008\I0343247\Desktop\app_test\"/>
    </mc:Choice>
  </mc:AlternateContent>
  <xr:revisionPtr revIDLastSave="0" documentId="13_ncr:1_{57576058-F76C-4DF5-B3C8-B8FEF40BB731}" xr6:coauthVersionLast="47" xr6:coauthVersionMax="47" xr10:uidLastSave="{00000000-0000-0000-0000-000000000000}"/>
  <bookViews>
    <workbookView xWindow="-28920" yWindow="-196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" i="1" l="1"/>
  <c r="H7" i="1"/>
  <c r="I6" i="1"/>
  <c r="H6" i="1"/>
  <c r="I5" i="1"/>
  <c r="H5" i="1"/>
  <c r="I4" i="1"/>
  <c r="H4" i="1"/>
  <c r="I3" i="1"/>
  <c r="H3" i="1"/>
  <c r="I2" i="1"/>
  <c r="H2" i="1"/>
  <c r="I9" i="1"/>
  <c r="I10" i="1"/>
  <c r="I11" i="1"/>
  <c r="I12" i="1"/>
  <c r="I13" i="1"/>
  <c r="I8" i="1"/>
  <c r="H9" i="1"/>
  <c r="H10" i="1"/>
  <c r="H11" i="1"/>
  <c r="H12" i="1"/>
  <c r="H13" i="1"/>
  <c r="H8" i="1"/>
</calcChain>
</file>

<file path=xl/sharedStrings.xml><?xml version="1.0" encoding="utf-8"?>
<sst xmlns="http://schemas.openxmlformats.org/spreadsheetml/2006/main" count="34" uniqueCount="28">
  <si>
    <t>Indikator</t>
  </si>
  <si>
    <t>Berücksichtigte Austritte</t>
  </si>
  <si>
    <t>Beobachtete Komplikationen</t>
  </si>
  <si>
    <t>Erwartete Komplikationen</t>
  </si>
  <si>
    <t>Risikobereinigte SCR</t>
  </si>
  <si>
    <t>Risikobereinigte Rate</t>
  </si>
  <si>
    <t>Durchschnitt Rate {alle Spitäler}</t>
  </si>
  <si>
    <t>PSI04   Sterberate nach Auftreten schwerer postoperativer Komplikationen</t>
  </si>
  <si>
    <t>27.12%</t>
  </si>
  <si>
    <t>PSI06   Iatrogene Pneumothorax Rate</t>
  </si>
  <si>
    <t>0.06%</t>
  </si>
  <si>
    <t>PSI11   Postoperative pulmonale Insuffizienz Rate</t>
  </si>
  <si>
    <t>0.27%</t>
  </si>
  <si>
    <t>PSI13   Postoperative Sepsis Rate</t>
  </si>
  <si>
    <t>0.25%</t>
  </si>
  <si>
    <t>PSI18   Dammriss Rate nach Entbindungen mit Hilfsmittel</t>
  </si>
  <si>
    <t>8.81%</t>
  </si>
  <si>
    <t>PSI19   Dammriss Rate nach Entbindungen ohne Hilfsmittel</t>
  </si>
  <si>
    <t>4.47%</t>
  </si>
  <si>
    <t>erwartete_rate</t>
  </si>
  <si>
    <t>beobachtete_rate</t>
  </si>
  <si>
    <t>26.92%</t>
  </si>
  <si>
    <t>0.09%</t>
  </si>
  <si>
    <t>0.35%</t>
  </si>
  <si>
    <t>0.26%</t>
  </si>
  <si>
    <t>7.19%</t>
  </si>
  <si>
    <t>3.07%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</si>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</sst>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0" fontId="1" fillId="2" borderId="1" xfId="0" applyFont="1" applyFill="1" applyBorder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A13" sqref="A13"/>
    </sheetView>
  </sheetViews>
  <sheetFormatPr baseColWidth="10" defaultColWidth="9.140625" defaultRowHeight="15" x14ac:dyDescent="0.25"/>
  <cols>
    <col min="1" max="1" width="36.85546875" customWidth="1"/>
    <col min="2" max="3" width="15.7109375" style="1" customWidth="1"/>
    <col min="4" max="4" width="15.7109375" style="2" customWidth="1"/>
    <col min="5" max="5" width="17.28515625" style="2" customWidth="1"/>
    <col min="6" max="6" width="15.7109375" customWidth="1"/>
    <col min="7" max="7" width="15.7109375" style="3" customWidth="1"/>
    <col min="10" max="10" width="9.140625" style="5"/>
  </cols>
  <sheetData>
    <row r="1" spans="1:10" x14ac:dyDescent="0.25">
      <c r="A1" s="4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t="s">
        <v>5</v>
      </c>
      <c r="G1" s="3" t="s">
        <v>6</v>
      </c>
      <c r="H1" s="3" t="s">
        <v>19</v>
      </c>
      <c r="I1" s="3" t="s">
        <v>20</v>
      </c>
      <c r="J1" s="5" t="s">
        <v>27</v>
      </c>
    </row>
    <row r="2" spans="1:10" x14ac:dyDescent="0.25">
      <c r="A2" t="s">
        <v>7</v>
      </c>
      <c r="B2" s="1">
        <v>742</v>
      </c>
      <c r="C2" s="1">
        <v>166</v>
      </c>
      <c r="D2" s="2">
        <v>108.77966000000001</v>
      </c>
      <c r="E2" s="2">
        <v>1.5260199999999999</v>
      </c>
      <c r="F2" t="s">
        <v>21</v>
      </c>
      <c r="G2" s="3">
        <v>0.17641000000000001</v>
      </c>
      <c r="H2">
        <f>D2/B2*100</f>
        <v>14.66033153638814</v>
      </c>
      <c r="I2">
        <f>C2/B2*100</f>
        <v>22.371967654986523</v>
      </c>
      <c r="J2" s="5">
        <v>2023</v>
      </c>
    </row>
    <row r="3" spans="1:10" x14ac:dyDescent="0.25">
      <c r="A3" t="s">
        <v>9</v>
      </c>
      <c r="B3" s="1">
        <v>31486</v>
      </c>
      <c r="C3" s="1">
        <v>35</v>
      </c>
      <c r="D3" s="2">
        <v>20.70374</v>
      </c>
      <c r="E3" s="2">
        <v>1.69052</v>
      </c>
      <c r="F3" t="s">
        <v>22</v>
      </c>
      <c r="G3" s="3">
        <v>5.2999999999999998E-4</v>
      </c>
      <c r="H3">
        <f t="shared" ref="H3:H7" si="0">D3/B3*100</f>
        <v>6.5755383344978727E-2</v>
      </c>
      <c r="I3">
        <f t="shared" ref="I3:I7" si="1">C3/B3*100</f>
        <v>0.11116051578479323</v>
      </c>
      <c r="J3" s="5">
        <v>2023</v>
      </c>
    </row>
    <row r="4" spans="1:10" x14ac:dyDescent="0.25">
      <c r="A4" t="s">
        <v>11</v>
      </c>
      <c r="B4" s="1">
        <v>12293</v>
      </c>
      <c r="C4" s="1">
        <v>61</v>
      </c>
      <c r="D4" s="2">
        <v>30.157139999999998</v>
      </c>
      <c r="E4" s="2">
        <v>2.0227400000000002</v>
      </c>
      <c r="F4" t="s">
        <v>23</v>
      </c>
      <c r="G4" s="3">
        <v>1.75E-3</v>
      </c>
      <c r="H4">
        <f t="shared" si="0"/>
        <v>0.24531961278776537</v>
      </c>
      <c r="I4">
        <f t="shared" si="1"/>
        <v>0.49621735947287077</v>
      </c>
      <c r="J4" s="5">
        <v>2023</v>
      </c>
    </row>
    <row r="5" spans="1:10" x14ac:dyDescent="0.25">
      <c r="A5" t="s">
        <v>13</v>
      </c>
      <c r="B5" s="1">
        <v>13476</v>
      </c>
      <c r="C5" s="1">
        <v>44</v>
      </c>
      <c r="D5" s="2">
        <v>37.071959999999997</v>
      </c>
      <c r="E5" s="2">
        <v>1.1868799999999999</v>
      </c>
      <c r="F5" t="s">
        <v>24</v>
      </c>
      <c r="G5" s="3">
        <v>2.1900000000000001E-3</v>
      </c>
      <c r="H5">
        <f t="shared" si="0"/>
        <v>0.27509617097061445</v>
      </c>
      <c r="I5">
        <f t="shared" si="1"/>
        <v>0.32650638171564261</v>
      </c>
      <c r="J5" s="5">
        <v>2023</v>
      </c>
    </row>
    <row r="6" spans="1:10" x14ac:dyDescent="0.25">
      <c r="A6" t="s">
        <v>15</v>
      </c>
      <c r="B6" s="1">
        <v>194</v>
      </c>
      <c r="C6" s="1">
        <v>14</v>
      </c>
      <c r="D6" s="2">
        <v>14.72171</v>
      </c>
      <c r="E6" s="2">
        <v>0.95098000000000005</v>
      </c>
      <c r="F6" t="s">
        <v>25</v>
      </c>
      <c r="G6" s="3">
        <v>7.5579999999999994E-2</v>
      </c>
      <c r="H6">
        <f t="shared" si="0"/>
        <v>7.5885103092783499</v>
      </c>
      <c r="I6">
        <f t="shared" si="1"/>
        <v>7.216494845360824</v>
      </c>
      <c r="J6" s="5">
        <v>2023</v>
      </c>
    </row>
    <row r="7" spans="1:10" x14ac:dyDescent="0.25">
      <c r="A7" t="s">
        <v>17</v>
      </c>
      <c r="B7" s="1">
        <v>844</v>
      </c>
      <c r="C7" s="1">
        <v>26</v>
      </c>
      <c r="D7" s="2">
        <v>18.691030000000001</v>
      </c>
      <c r="E7" s="2">
        <v>1.3910400000000001</v>
      </c>
      <c r="F7" t="s">
        <v>26</v>
      </c>
      <c r="G7" s="3">
        <v>2.2069999999999999E-2</v>
      </c>
      <c r="H7">
        <f t="shared" si="0"/>
        <v>2.2145770142180097</v>
      </c>
      <c r="I7">
        <f t="shared" si="1"/>
        <v>3.080568720379147</v>
      </c>
      <c r="J7" s="5">
        <v>2023</v>
      </c>
    </row>
    <row r="8" spans="1:10" x14ac:dyDescent="0.25">
      <c r="A8" t="s">
        <v>7</v>
      </c>
      <c r="B8" s="1">
        <v>820</v>
      </c>
      <c r="C8" s="1">
        <v>190</v>
      </c>
      <c r="D8" s="2">
        <v>123.90361</v>
      </c>
      <c r="E8" s="2">
        <v>1.53345</v>
      </c>
      <c r="F8" t="s">
        <v>8</v>
      </c>
      <c r="G8" s="3">
        <v>0.17682</v>
      </c>
      <c r="H8">
        <f>D8/B8*100</f>
        <v>15.110196341463414</v>
      </c>
      <c r="I8">
        <f>C8/B8*100</f>
        <v>23.170731707317074</v>
      </c>
      <c r="J8" s="5">
        <v>2024</v>
      </c>
    </row>
    <row r="9" spans="1:10" x14ac:dyDescent="0.25">
      <c r="A9" t="s">
        <v>9</v>
      </c>
      <c r="B9" s="1">
        <v>32188</v>
      </c>
      <c r="C9" s="1">
        <v>23</v>
      </c>
      <c r="D9" s="2">
        <v>19.3278</v>
      </c>
      <c r="E9" s="2">
        <v>1.19</v>
      </c>
      <c r="F9" t="s">
        <v>10</v>
      </c>
      <c r="G9" s="3">
        <v>5.4000000000000001E-4</v>
      </c>
      <c r="H9">
        <f t="shared" ref="H9:H13" si="2">D9/B9*100</f>
        <v>6.0046601217845164E-2</v>
      </c>
      <c r="I9">
        <f t="shared" ref="I9:I13" si="3">C9/B9*100</f>
        <v>7.1455200695911519E-2</v>
      </c>
      <c r="J9" s="5">
        <v>2024</v>
      </c>
    </row>
    <row r="10" spans="1:10" x14ac:dyDescent="0.25">
      <c r="A10" t="s">
        <v>11</v>
      </c>
      <c r="B10" s="1">
        <v>12296</v>
      </c>
      <c r="C10" s="1">
        <v>39</v>
      </c>
      <c r="D10" s="2">
        <v>20.400939999999999</v>
      </c>
      <c r="E10" s="2">
        <v>1.91168</v>
      </c>
      <c r="F10" t="s">
        <v>12</v>
      </c>
      <c r="G10" s="3">
        <v>1.4E-3</v>
      </c>
      <c r="H10">
        <f t="shared" si="2"/>
        <v>0.16591525699414442</v>
      </c>
      <c r="I10">
        <f t="shared" si="3"/>
        <v>0.31717631750162656</v>
      </c>
      <c r="J10" s="5">
        <v>2024</v>
      </c>
    </row>
    <row r="11" spans="1:10" x14ac:dyDescent="0.25">
      <c r="A11" t="s">
        <v>13</v>
      </c>
      <c r="B11" s="1">
        <v>13432</v>
      </c>
      <c r="C11" s="1">
        <v>39</v>
      </c>
      <c r="D11" s="2">
        <v>32.463250000000002</v>
      </c>
      <c r="E11" s="2">
        <v>1.20136</v>
      </c>
      <c r="F11" t="s">
        <v>14</v>
      </c>
      <c r="G11" s="3">
        <v>2.0699999999999998E-3</v>
      </c>
      <c r="H11">
        <f t="shared" si="2"/>
        <v>0.24168589934484816</v>
      </c>
      <c r="I11">
        <f t="shared" si="3"/>
        <v>0.29035139964264445</v>
      </c>
      <c r="J11" s="5">
        <v>2024</v>
      </c>
    </row>
    <row r="12" spans="1:10" x14ac:dyDescent="0.25">
      <c r="A12" t="s">
        <v>15</v>
      </c>
      <c r="B12" s="1">
        <v>204</v>
      </c>
      <c r="C12" s="1">
        <v>18</v>
      </c>
      <c r="D12" s="2">
        <v>16.226479999999999</v>
      </c>
      <c r="E12" s="2">
        <v>1.1093</v>
      </c>
      <c r="F12" t="s">
        <v>16</v>
      </c>
      <c r="G12" s="3">
        <v>7.9420000000000004E-2</v>
      </c>
      <c r="H12">
        <f t="shared" si="2"/>
        <v>7.9541568627450969</v>
      </c>
      <c r="I12">
        <f t="shared" si="3"/>
        <v>8.8235294117647065</v>
      </c>
      <c r="J12" s="5">
        <v>2024</v>
      </c>
    </row>
    <row r="13" spans="1:10" x14ac:dyDescent="0.25">
      <c r="A13" t="s">
        <v>17</v>
      </c>
      <c r="B13" s="1">
        <v>866</v>
      </c>
      <c r="C13" s="1">
        <v>39</v>
      </c>
      <c r="D13" s="2">
        <v>21.79618</v>
      </c>
      <c r="E13" s="2">
        <v>1.7892999999999999</v>
      </c>
      <c r="F13" t="s">
        <v>18</v>
      </c>
      <c r="G13" s="3">
        <v>2.5000000000000001E-2</v>
      </c>
      <c r="H13">
        <f t="shared" si="2"/>
        <v>2.5168799076212474</v>
      </c>
      <c r="I13">
        <f t="shared" si="3"/>
        <v>4.503464203233257</v>
      </c>
      <c r="J13" s="5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Pacozzi, Luca</cp:lastModifiedBy>
  <dcterms:created xsi:type="dcterms:W3CDTF">2025-10-28T15:02:36Z</dcterms:created>
  <dcterms:modified xsi:type="dcterms:W3CDTF">2025-10-29T14:03:49Z</dcterms:modified>
</cp:coreProperties>
</file>